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24226"/>
  <mc:AlternateContent xmlns:mc="http://schemas.openxmlformats.org/markup-compatibility/2006">
    <mc:Choice Requires="x15">
      <x15ac:absPath xmlns:x15ac="http://schemas.microsoft.com/office/spreadsheetml/2010/11/ac" url="https://d.docs.live.net/d38df7039b0dac4b/Documents/"/>
    </mc:Choice>
  </mc:AlternateContent>
  <xr:revisionPtr revIDLastSave="6" documentId="8_{22F93099-2BE1-4CED-AA4C-A0D3671A40D4}" xr6:coauthVersionLast="47" xr6:coauthVersionMax="47" xr10:uidLastSave="{2494EB48-87B8-4704-A91E-DE546509F102}"/>
  <bookViews>
    <workbookView xWindow="-108" yWindow="-108" windowWidth="23256" windowHeight="12456" firstSheet="2" activeTab="5" xr2:uid="{00000000-000D-0000-FFFF-FFFF00000000}"/>
  </bookViews>
  <sheets>
    <sheet name="Budget Data" sheetId="11" r:id="rId1"/>
    <sheet name="Income VS Expenses" sheetId="10" r:id="rId2"/>
    <sheet name="Monthly rev vs exp" sheetId="13" r:id="rId3"/>
    <sheet name="Profit trend" sheetId="14" r:id="rId4"/>
    <sheet name="Variance analysis" sheetId="16" r:id="rId5"/>
    <sheet name="DASHBOARD" sheetId="18" r:id="rId6"/>
  </sheets>
  <definedNames>
    <definedName name="Raw_main_data">Table1[]</definedName>
    <definedName name="Rawdata">Table1[]</definedName>
    <definedName name="Slicer_Month">#N/A</definedName>
  </definedNames>
  <calcPr calcId="191029"/>
  <pivotCaches>
    <pivotCache cacheId="12"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18" l="1"/>
  <c r="F4" i="18"/>
  <c r="L4" i="18"/>
  <c r="C4" i="18"/>
  <c r="F4" i="16"/>
  <c r="J6" i="10"/>
  <c r="J4" i="10"/>
  <c r="I2" i="10"/>
  <c r="K3" i="10"/>
  <c r="G5" i="16"/>
  <c r="G6" i="16"/>
  <c r="G7" i="16"/>
  <c r="G8" i="16"/>
  <c r="G9" i="16"/>
  <c r="G10" i="16"/>
  <c r="G11" i="16"/>
  <c r="G12" i="16"/>
  <c r="G13" i="16"/>
  <c r="G14" i="16"/>
  <c r="G15" i="16"/>
  <c r="G16" i="16"/>
  <c r="G4" i="16"/>
  <c r="F5" i="16"/>
  <c r="F6" i="16"/>
  <c r="F7" i="16"/>
  <c r="F8" i="16"/>
  <c r="F9" i="16"/>
  <c r="F10" i="16"/>
  <c r="F11" i="16"/>
  <c r="F12" i="16"/>
  <c r="F13" i="16"/>
  <c r="F14" i="16"/>
  <c r="F15" i="16"/>
  <c r="F16" i="16"/>
  <c r="F10" i="10"/>
  <c r="F18" i="10"/>
  <c r="I18" i="10" s="1"/>
  <c r="F26" i="10"/>
  <c r="I26" i="10" s="1"/>
  <c r="F34" i="10"/>
  <c r="I34" i="10" s="1"/>
  <c r="F42" i="10"/>
  <c r="I42" i="10" s="1"/>
  <c r="F2" i="10"/>
  <c r="E10" i="10"/>
  <c r="E18" i="10"/>
  <c r="H18" i="10" s="1"/>
  <c r="E26" i="10"/>
  <c r="H26" i="10" s="1"/>
  <c r="E34" i="10"/>
  <c r="H34" i="10" s="1"/>
  <c r="E42" i="10"/>
  <c r="H42" i="10" s="1"/>
  <c r="E2" i="10"/>
  <c r="L10" i="10"/>
  <c r="L18" i="10"/>
  <c r="L26" i="10"/>
  <c r="L34" i="10"/>
  <c r="L42" i="10"/>
  <c r="L2" i="10"/>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2" i="10"/>
  <c r="J11" i="10"/>
  <c r="J12" i="10"/>
  <c r="J13" i="10"/>
  <c r="G14" i="10"/>
  <c r="J14" i="10" s="1"/>
  <c r="G15" i="10"/>
  <c r="J15" i="10" s="1"/>
  <c r="G16" i="10"/>
  <c r="J16" i="10" s="1"/>
  <c r="G17" i="10"/>
  <c r="J17" i="10" s="1"/>
  <c r="G18" i="10"/>
  <c r="J18" i="10" s="1"/>
  <c r="G19" i="10"/>
  <c r="J19" i="10" s="1"/>
  <c r="G20" i="10"/>
  <c r="J20" i="10" s="1"/>
  <c r="G21" i="10"/>
  <c r="J21" i="10" s="1"/>
  <c r="G22" i="10"/>
  <c r="J22" i="10" s="1"/>
  <c r="G23" i="10"/>
  <c r="J23" i="10" s="1"/>
  <c r="G24" i="10"/>
  <c r="J24" i="10" s="1"/>
  <c r="G25" i="10"/>
  <c r="J25" i="10" s="1"/>
  <c r="G26" i="10"/>
  <c r="J26" i="10" s="1"/>
  <c r="G27" i="10"/>
  <c r="J27" i="10" s="1"/>
  <c r="G28" i="10"/>
  <c r="J28" i="10" s="1"/>
  <c r="G29" i="10"/>
  <c r="J29" i="10" s="1"/>
  <c r="G30" i="10"/>
  <c r="J30" i="10" s="1"/>
  <c r="G31" i="10"/>
  <c r="J31" i="10" s="1"/>
  <c r="G32" i="10"/>
  <c r="J32" i="10" s="1"/>
  <c r="G33" i="10"/>
  <c r="J33" i="10" s="1"/>
  <c r="G34" i="10"/>
  <c r="J34" i="10" s="1"/>
  <c r="G35" i="10"/>
  <c r="J35" i="10" s="1"/>
  <c r="G36" i="10"/>
  <c r="J36" i="10" s="1"/>
  <c r="G37" i="10"/>
  <c r="J37" i="10" s="1"/>
  <c r="G38" i="10"/>
  <c r="J38" i="10" s="1"/>
  <c r="G39" i="10"/>
  <c r="J39" i="10" s="1"/>
  <c r="G40" i="10"/>
  <c r="J40" i="10" s="1"/>
  <c r="G41" i="10"/>
  <c r="J41" i="10" s="1"/>
  <c r="G42" i="10"/>
  <c r="J42" i="10" s="1"/>
  <c r="G43" i="10"/>
  <c r="J43" i="10" s="1"/>
  <c r="G44" i="10"/>
  <c r="J44" i="10" s="1"/>
  <c r="G45" i="10"/>
  <c r="J45" i="10" s="1"/>
  <c r="G46" i="10"/>
  <c r="J46" i="10" s="1"/>
  <c r="G47" i="10"/>
  <c r="J47" i="10" s="1"/>
  <c r="G48" i="10"/>
  <c r="J48" i="10" s="1"/>
  <c r="G49" i="10"/>
  <c r="J49" i="10" s="1"/>
  <c r="D14" i="10"/>
  <c r="F14" i="10" s="1"/>
  <c r="I14" i="10" s="1"/>
  <c r="D15" i="10"/>
  <c r="F15" i="10" s="1"/>
  <c r="I15" i="10" s="1"/>
  <c r="D16" i="10"/>
  <c r="F16" i="10" s="1"/>
  <c r="I16" i="10" s="1"/>
  <c r="D17" i="10"/>
  <c r="F17" i="10" s="1"/>
  <c r="I17" i="10" s="1"/>
  <c r="D18" i="10"/>
  <c r="D19" i="10"/>
  <c r="F19" i="10" s="1"/>
  <c r="I19" i="10" s="1"/>
  <c r="D20" i="10"/>
  <c r="F20" i="10" s="1"/>
  <c r="I20" i="10" s="1"/>
  <c r="D21" i="10"/>
  <c r="F21" i="10" s="1"/>
  <c r="I21" i="10" s="1"/>
  <c r="D22" i="10"/>
  <c r="F22" i="10" s="1"/>
  <c r="I22" i="10" s="1"/>
  <c r="D23" i="10"/>
  <c r="F23" i="10" s="1"/>
  <c r="I23" i="10" s="1"/>
  <c r="D24" i="10"/>
  <c r="F24" i="10" s="1"/>
  <c r="I24" i="10" s="1"/>
  <c r="D25" i="10"/>
  <c r="F25" i="10" s="1"/>
  <c r="I25" i="10" s="1"/>
  <c r="D26" i="10"/>
  <c r="D27" i="10"/>
  <c r="F27" i="10" s="1"/>
  <c r="I27" i="10" s="1"/>
  <c r="D28" i="10"/>
  <c r="F28" i="10" s="1"/>
  <c r="I28" i="10" s="1"/>
  <c r="D29" i="10"/>
  <c r="F29" i="10" s="1"/>
  <c r="I29" i="10" s="1"/>
  <c r="D30" i="10"/>
  <c r="F30" i="10" s="1"/>
  <c r="I30" i="10" s="1"/>
  <c r="D31" i="10"/>
  <c r="F31" i="10" s="1"/>
  <c r="I31" i="10" s="1"/>
  <c r="D32" i="10"/>
  <c r="F32" i="10" s="1"/>
  <c r="I32" i="10" s="1"/>
  <c r="D33" i="10"/>
  <c r="F33" i="10" s="1"/>
  <c r="I33" i="10" s="1"/>
  <c r="D34" i="10"/>
  <c r="D35" i="10"/>
  <c r="F35" i="10" s="1"/>
  <c r="I35" i="10" s="1"/>
  <c r="D36" i="10"/>
  <c r="F36" i="10" s="1"/>
  <c r="I36" i="10" s="1"/>
  <c r="D37" i="10"/>
  <c r="F37" i="10" s="1"/>
  <c r="I37" i="10" s="1"/>
  <c r="D38" i="10"/>
  <c r="F38" i="10" s="1"/>
  <c r="I38" i="10" s="1"/>
  <c r="D39" i="10"/>
  <c r="F39" i="10" s="1"/>
  <c r="I39" i="10" s="1"/>
  <c r="D40" i="10"/>
  <c r="F40" i="10" s="1"/>
  <c r="I40" i="10" s="1"/>
  <c r="D41" i="10"/>
  <c r="F41" i="10" s="1"/>
  <c r="I41" i="10" s="1"/>
  <c r="D42" i="10"/>
  <c r="D43" i="10"/>
  <c r="F43" i="10" s="1"/>
  <c r="I43" i="10" s="1"/>
  <c r="D44" i="10"/>
  <c r="F44" i="10" s="1"/>
  <c r="I44" i="10" s="1"/>
  <c r="D45" i="10"/>
  <c r="F45" i="10" s="1"/>
  <c r="I45" i="10" s="1"/>
  <c r="D46" i="10"/>
  <c r="F46" i="10" s="1"/>
  <c r="I46" i="10" s="1"/>
  <c r="D47" i="10"/>
  <c r="F47" i="10" s="1"/>
  <c r="I47" i="10" s="1"/>
  <c r="D48" i="10"/>
  <c r="F48" i="10" s="1"/>
  <c r="I48" i="10" s="1"/>
  <c r="D49" i="10"/>
  <c r="F49" i="10" s="1"/>
  <c r="I49" i="10" s="1"/>
  <c r="G3" i="10"/>
  <c r="J3" i="10" s="1"/>
  <c r="G4" i="10"/>
  <c r="G5" i="10"/>
  <c r="J5" i="10" s="1"/>
  <c r="G6" i="10"/>
  <c r="G7" i="10"/>
  <c r="J7" i="10" s="1"/>
  <c r="G8" i="10"/>
  <c r="J8" i="10" s="1"/>
  <c r="G9" i="10"/>
  <c r="J9" i="10" s="1"/>
  <c r="G10" i="10"/>
  <c r="J10" i="10" s="1"/>
  <c r="G11" i="10"/>
  <c r="G12" i="10"/>
  <c r="G13" i="10"/>
  <c r="G2" i="10"/>
  <c r="J2" i="10" s="1"/>
  <c r="D3" i="10"/>
  <c r="F3" i="10" s="1"/>
  <c r="D4" i="10"/>
  <c r="F4" i="10" s="1"/>
  <c r="D5" i="10"/>
  <c r="F5" i="10" s="1"/>
  <c r="I5" i="10" s="1"/>
  <c r="D6" i="10"/>
  <c r="F6" i="10" s="1"/>
  <c r="D7" i="10"/>
  <c r="F7" i="10" s="1"/>
  <c r="D8" i="10"/>
  <c r="F8" i="10" s="1"/>
  <c r="D9" i="10"/>
  <c r="F9" i="10" s="1"/>
  <c r="D10" i="10"/>
  <c r="D11" i="10"/>
  <c r="F11" i="10" s="1"/>
  <c r="D12" i="10"/>
  <c r="F12" i="10" s="1"/>
  <c r="D13" i="10"/>
  <c r="F13" i="10" s="1"/>
  <c r="D2" i="10"/>
  <c r="C20" i="16" l="1"/>
  <c r="C21" i="16"/>
  <c r="C19" i="16"/>
  <c r="C18" i="16"/>
  <c r="I4" i="18"/>
  <c r="L49" i="10"/>
  <c r="L41" i="10"/>
  <c r="L33" i="10"/>
  <c r="L25" i="10"/>
  <c r="L17" i="10"/>
  <c r="L9" i="10"/>
  <c r="E49" i="10"/>
  <c r="H49" i="10" s="1"/>
  <c r="E41" i="10"/>
  <c r="H41" i="10" s="1"/>
  <c r="E33" i="10"/>
  <c r="H33" i="10" s="1"/>
  <c r="E25" i="10"/>
  <c r="H25" i="10" s="1"/>
  <c r="E17" i="10"/>
  <c r="H17" i="10" s="1"/>
  <c r="E9" i="10"/>
  <c r="L48" i="10"/>
  <c r="L40" i="10"/>
  <c r="L32" i="10"/>
  <c r="L24" i="10"/>
  <c r="L16" i="10"/>
  <c r="L8" i="10"/>
  <c r="E48" i="10"/>
  <c r="H48" i="10" s="1"/>
  <c r="E40" i="10"/>
  <c r="H40" i="10" s="1"/>
  <c r="E32" i="10"/>
  <c r="H32" i="10" s="1"/>
  <c r="E24" i="10"/>
  <c r="H24" i="10" s="1"/>
  <c r="E16" i="10"/>
  <c r="H16" i="10" s="1"/>
  <c r="E8" i="10"/>
  <c r="H8" i="10" s="1"/>
  <c r="L47" i="10"/>
  <c r="L39" i="10"/>
  <c r="L31" i="10"/>
  <c r="L23" i="10"/>
  <c r="L15" i="10"/>
  <c r="L7" i="10"/>
  <c r="E47" i="10"/>
  <c r="H47" i="10" s="1"/>
  <c r="E39" i="10"/>
  <c r="H39" i="10" s="1"/>
  <c r="E31" i="10"/>
  <c r="H31" i="10" s="1"/>
  <c r="E23" i="10"/>
  <c r="H23" i="10" s="1"/>
  <c r="E15" i="10"/>
  <c r="H15" i="10" s="1"/>
  <c r="E7" i="10"/>
  <c r="H7" i="10" s="1"/>
  <c r="L46" i="10"/>
  <c r="L38" i="10"/>
  <c r="L30" i="10"/>
  <c r="L22" i="10"/>
  <c r="L14" i="10"/>
  <c r="L6" i="10"/>
  <c r="E46" i="10"/>
  <c r="H46" i="10" s="1"/>
  <c r="E38" i="10"/>
  <c r="H38" i="10" s="1"/>
  <c r="E30" i="10"/>
  <c r="H30" i="10" s="1"/>
  <c r="E22" i="10"/>
  <c r="H22" i="10" s="1"/>
  <c r="E14" i="10"/>
  <c r="H14" i="10" s="1"/>
  <c r="E6" i="10"/>
  <c r="H6" i="10" s="1"/>
  <c r="L45" i="10"/>
  <c r="L37" i="10"/>
  <c r="L29" i="10"/>
  <c r="L21" i="10"/>
  <c r="L13" i="10"/>
  <c r="L5" i="10"/>
  <c r="E45" i="10"/>
  <c r="H45" i="10" s="1"/>
  <c r="E37" i="10"/>
  <c r="H37" i="10" s="1"/>
  <c r="E29" i="10"/>
  <c r="H29" i="10" s="1"/>
  <c r="E21" i="10"/>
  <c r="H21" i="10" s="1"/>
  <c r="E13" i="10"/>
  <c r="E5" i="10"/>
  <c r="H5" i="10" s="1"/>
  <c r="L44" i="10"/>
  <c r="L36" i="10"/>
  <c r="L28" i="10"/>
  <c r="L20" i="10"/>
  <c r="L12" i="10"/>
  <c r="L4" i="10"/>
  <c r="E44" i="10"/>
  <c r="H44" i="10" s="1"/>
  <c r="E36" i="10"/>
  <c r="H36" i="10" s="1"/>
  <c r="E28" i="10"/>
  <c r="H28" i="10" s="1"/>
  <c r="E20" i="10"/>
  <c r="H20" i="10" s="1"/>
  <c r="E12" i="10"/>
  <c r="H12" i="10" s="1"/>
  <c r="E4" i="10"/>
  <c r="H4" i="10" s="1"/>
  <c r="L43" i="10"/>
  <c r="L35" i="10"/>
  <c r="L27" i="10"/>
  <c r="L19" i="10"/>
  <c r="L11" i="10"/>
  <c r="L3" i="10"/>
  <c r="E43" i="10"/>
  <c r="H43" i="10" s="1"/>
  <c r="E35" i="10"/>
  <c r="H35" i="10" s="1"/>
  <c r="E27" i="10"/>
  <c r="H27" i="10" s="1"/>
  <c r="E19" i="10"/>
  <c r="H19" i="10" s="1"/>
  <c r="E11" i="10"/>
  <c r="H11" i="10" s="1"/>
  <c r="E3" i="10"/>
  <c r="I10" i="10"/>
  <c r="I13" i="10"/>
  <c r="H13" i="10"/>
  <c r="I8" i="10"/>
  <c r="I3" i="10"/>
  <c r="H10" i="10"/>
  <c r="I7" i="10"/>
  <c r="H2" i="10"/>
  <c r="I9" i="10"/>
  <c r="I6" i="10"/>
  <c r="H3" i="10"/>
  <c r="H9" i="10"/>
  <c r="I12" i="10"/>
  <c r="I4" i="10"/>
  <c r="I11" i="10"/>
</calcChain>
</file>

<file path=xl/sharedStrings.xml><?xml version="1.0" encoding="utf-8"?>
<sst xmlns="http://schemas.openxmlformats.org/spreadsheetml/2006/main" count="94" uniqueCount="49">
  <si>
    <t>Date</t>
  </si>
  <si>
    <t>Month</t>
  </si>
  <si>
    <t>Grand Total</t>
  </si>
  <si>
    <t>Revenue</t>
  </si>
  <si>
    <t>Expenses</t>
  </si>
  <si>
    <t>Budget Revenue</t>
  </si>
  <si>
    <t>Budget Expenses</t>
  </si>
  <si>
    <t>Jan</t>
  </si>
  <si>
    <t>Feb</t>
  </si>
  <si>
    <t>Mar</t>
  </si>
  <si>
    <t>Profit</t>
  </si>
  <si>
    <t>Revenue Variance</t>
  </si>
  <si>
    <t>Expense Variance</t>
  </si>
  <si>
    <t>Row Labels</t>
  </si>
  <si>
    <t>Sum of Revenue</t>
  </si>
  <si>
    <t>Sum of Expenses</t>
  </si>
  <si>
    <t>Total Revenue</t>
  </si>
  <si>
    <t>Total Expenses</t>
  </si>
  <si>
    <t>Total Profit</t>
  </si>
  <si>
    <t>May</t>
  </si>
  <si>
    <t>Jun</t>
  </si>
  <si>
    <t>Jul</t>
  </si>
  <si>
    <t>Aug</t>
  </si>
  <si>
    <t>Sep</t>
  </si>
  <si>
    <t>Oct</t>
  </si>
  <si>
    <t>Nov</t>
  </si>
  <si>
    <t>Dec</t>
  </si>
  <si>
    <t>Profit Margin %</t>
  </si>
  <si>
    <t>Expense Ratio</t>
  </si>
  <si>
    <t>Quarter</t>
  </si>
  <si>
    <t>Apr</t>
  </si>
  <si>
    <t>Average of Budget Revenue</t>
  </si>
  <si>
    <t>Average of Budget Expenses</t>
  </si>
  <si>
    <t>Best Revenue Month</t>
  </si>
  <si>
    <t>Worst Expense Month</t>
  </si>
  <si>
    <t>Total Revenue Surplus</t>
  </si>
  <si>
    <t>Total Expense Overrun</t>
  </si>
  <si>
    <t>1. "Revenue consistently exceeded budget across all 12 months, indicating strong sales performance"</t>
  </si>
  <si>
    <t>2. "Expense variance remained negative throughout the year, suggesting actual costs exceeded planned budget — primarily driven by operational scaling"</t>
  </si>
  <si>
    <t>3. "Despite expense overruns, revenue surplus offset costs resulting in healthy profit growth"</t>
  </si>
  <si>
    <t>4. "Highest revenue outperformance in Q4 — Dec, Nov, Oct showed strongest positive variance"</t>
  </si>
  <si>
    <t>5. "Expense overrun was highest in Q3-Q4 — likely due to business expansion costs"</t>
  </si>
  <si>
    <t>INSIGHTS</t>
  </si>
  <si>
    <t>Avg Profit Margin</t>
  </si>
  <si>
    <t>Best Month</t>
  </si>
  <si>
    <t xml:space="preserve">Revenue </t>
  </si>
  <si>
    <t xml:space="preserve">Expenses </t>
  </si>
  <si>
    <t xml:space="preserve">Profit </t>
  </si>
  <si>
    <t>FINANCIAL  PERFORMANCE DASHBOARD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</si>
</sst>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 &quot;₹&quot;\ * #,##0_ ;_ &quot;₹&quot;\ * \-#,##0_ ;_ &quot;₹&quot;\ * &quot;-&quot;_ ;_ @_ "/>
    <numFmt numFmtId="164" formatCode="&quot;₹&quot;\ #,##0"/>
    <numFmt numFmtId="165" formatCode="_ &quot;₹&quot;\ * #,##0_ ;_ &quot;₹&quot;\ * \-#,##0_ ;_ &quot;₹&quot;\ * &quot;-&quot;??_ ;_ @_ "/>
  </numFmts>
  <fonts count="12">
    <font>
      <sz val="11"/>
      <color theme="1"/>
      <name val="Calibri"/>
      <family val="2"/>
      <scheme val="minor"/>
    </font>
    <font>
      <b/>
      <sz val="11"/>
      <color theme="1"/>
      <name val="Calibri"/>
      <family val="2"/>
      <scheme val="minor"/>
    </font>
    <font>
      <sz val="11"/>
      <color theme="1"/>
      <name val="Calibri"/>
      <family val="2"/>
      <scheme val="minor"/>
    </font>
    <font>
      <sz val="8"/>
      <name val="Calibri"/>
      <family val="2"/>
      <scheme val="minor"/>
    </font>
    <font>
      <sz val="10"/>
      <color theme="1"/>
      <name val="Arial Unicode MS"/>
    </font>
    <font>
      <i/>
      <sz val="11"/>
      <color theme="1"/>
      <name val="Calibri"/>
      <family val="2"/>
      <scheme val="minor"/>
    </font>
    <font>
      <sz val="20"/>
      <color theme="1"/>
      <name val="Arial Black"/>
      <family val="2"/>
    </font>
    <font>
      <b/>
      <sz val="16"/>
      <color theme="1"/>
      <name val="Calibri"/>
      <family val="2"/>
      <scheme val="minor"/>
    </font>
    <font>
      <b/>
      <sz val="13.5"/>
      <color theme="1"/>
      <name val="Calibri"/>
      <family val="2"/>
      <scheme val="minor"/>
    </font>
    <font>
      <b/>
      <sz val="18"/>
      <color theme="1"/>
      <name val="Calibri"/>
      <family val="2"/>
      <scheme val="minor"/>
    </font>
    <font>
      <sz val="20"/>
      <color theme="1"/>
      <name val="Calibri"/>
      <family val="2"/>
      <scheme val="minor"/>
    </font>
    <font>
      <b/>
      <sz val="18"/>
      <name val="Calibri"/>
      <family val="2"/>
      <scheme val="minor"/>
    </font>
  </fonts>
  <fills count="7">
    <fill>
      <patternFill patternType="none"/>
    </fill>
    <fill>
      <patternFill patternType="gray125"/>
    </fill>
    <fill>
      <patternFill patternType="solid">
        <fgColor theme="3" tint="0.39997558519241921"/>
        <bgColor indexed="64"/>
      </patternFill>
    </fill>
    <fill>
      <patternFill patternType="solid">
        <fgColor theme="6"/>
        <bgColor indexed="64"/>
      </patternFill>
    </fill>
    <fill>
      <patternFill patternType="solid">
        <fgColor theme="0"/>
        <bgColor indexed="64"/>
      </patternFill>
    </fill>
    <fill>
      <patternFill patternType="solid">
        <fgColor theme="2" tint="-0.249977111117893"/>
        <bgColor indexed="64"/>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38">
    <xf numFmtId="0" fontId="0" fillId="0" borderId="0" xfId="0"/>
    <xf numFmtId="0" fontId="0" fillId="0" borderId="0" xfId="0" pivotButton="1"/>
    <xf numFmtId="0" fontId="0" fillId="0" borderId="0" xfId="0" applyAlignment="1">
      <alignment horizontal="left"/>
    </xf>
    <xf numFmtId="0" fontId="1" fillId="0" borderId="0" xfId="0" applyFont="1" applyAlignment="1">
      <alignment horizontal="center" vertical="center" wrapText="1"/>
    </xf>
    <xf numFmtId="15" fontId="0" fillId="0" borderId="0" xfId="0" applyNumberFormat="1" applyAlignment="1">
      <alignment vertical="center" wrapText="1"/>
    </xf>
    <xf numFmtId="0" fontId="1" fillId="0" borderId="0" xfId="0" applyFont="1"/>
    <xf numFmtId="0" fontId="1" fillId="0" borderId="0" xfId="0" applyFont="1" applyAlignment="1">
      <alignment horizontal="left" vertical="center" indent="1"/>
    </xf>
    <xf numFmtId="15" fontId="0" fillId="0" borderId="0" xfId="0" applyNumberFormat="1"/>
    <xf numFmtId="0" fontId="1" fillId="0" borderId="0" xfId="0" applyFont="1" applyAlignment="1">
      <alignment vertical="center" wrapText="1"/>
    </xf>
    <xf numFmtId="0" fontId="1" fillId="0" borderId="0" xfId="0" applyFont="1" applyAlignment="1">
      <alignment vertical="center"/>
    </xf>
    <xf numFmtId="0" fontId="5" fillId="0" borderId="0" xfId="0" applyFont="1" applyAlignment="1">
      <alignment horizontal="left" vertical="center" indent="1"/>
    </xf>
    <xf numFmtId="42" fontId="0" fillId="0" borderId="0" xfId="0" applyNumberFormat="1" applyAlignment="1">
      <alignment vertical="center" wrapText="1"/>
    </xf>
    <xf numFmtId="42" fontId="0" fillId="0" borderId="0" xfId="0" applyNumberFormat="1"/>
    <xf numFmtId="10" fontId="0" fillId="0" borderId="0" xfId="1" applyNumberFormat="1" applyFont="1"/>
    <xf numFmtId="42" fontId="4" fillId="0" borderId="0" xfId="0" applyNumberFormat="1" applyFont="1"/>
    <xf numFmtId="0" fontId="8" fillId="0" borderId="0" xfId="0" applyFont="1" applyAlignment="1">
      <alignment vertical="center"/>
    </xf>
    <xf numFmtId="0" fontId="5" fillId="0" borderId="0" xfId="0" applyFont="1"/>
    <xf numFmtId="0" fontId="6" fillId="0" borderId="0" xfId="0" applyFont="1" applyAlignment="1">
      <alignment vertical="center"/>
    </xf>
    <xf numFmtId="0" fontId="10" fillId="0" borderId="0" xfId="0" applyFont="1" applyAlignment="1">
      <alignment vertical="center"/>
    </xf>
    <xf numFmtId="0" fontId="0" fillId="4" borderId="0" xfId="0" applyFill="1"/>
    <xf numFmtId="0" fontId="7" fillId="4" borderId="0" xfId="0" applyFont="1" applyFill="1"/>
    <xf numFmtId="0" fontId="9" fillId="0" borderId="0" xfId="0" applyFont="1" applyAlignment="1">
      <alignment vertical="center"/>
    </xf>
    <xf numFmtId="0" fontId="0" fillId="0" borderId="0" xfId="0" applyAlignment="1">
      <alignment horizontal="center"/>
    </xf>
    <xf numFmtId="0" fontId="1" fillId="5" borderId="1" xfId="0" applyFont="1" applyFill="1" applyBorder="1" applyAlignment="1">
      <alignment horizontal="center" vertical="center" wrapText="1"/>
    </xf>
    <xf numFmtId="0" fontId="0" fillId="6" borderId="1" xfId="0" applyFill="1" applyBorder="1" applyAlignment="1">
      <alignment vertical="center" wrapText="1"/>
    </xf>
    <xf numFmtId="42" fontId="0" fillId="6" borderId="1" xfId="0" applyNumberFormat="1" applyFill="1" applyBorder="1" applyAlignment="1">
      <alignment vertical="center" wrapText="1"/>
    </xf>
    <xf numFmtId="42" fontId="0" fillId="6" borderId="1" xfId="0" applyNumberFormat="1" applyFill="1" applyBorder="1"/>
    <xf numFmtId="165" fontId="0" fillId="0" borderId="0" xfId="0" applyNumberFormat="1" applyAlignment="1">
      <alignment horizontal="center" vertical="center"/>
    </xf>
    <xf numFmtId="165" fontId="4" fillId="0" borderId="0" xfId="0" applyNumberFormat="1" applyFont="1" applyAlignment="1">
      <alignment horizontal="center" vertical="center"/>
    </xf>
    <xf numFmtId="0" fontId="0" fillId="3" borderId="0" xfId="0" applyFill="1" applyAlignment="1">
      <alignment horizontal="center"/>
    </xf>
    <xf numFmtId="164" fontId="7" fillId="3" borderId="0" xfId="0" applyNumberFormat="1" applyFont="1" applyFill="1" applyAlignment="1">
      <alignment horizontal="center"/>
    </xf>
    <xf numFmtId="0" fontId="0" fillId="2" borderId="0" xfId="0" applyFill="1" applyAlignment="1">
      <alignment horizontal="center"/>
    </xf>
    <xf numFmtId="164" fontId="7" fillId="2" borderId="0" xfId="0" applyNumberFormat="1" applyFont="1" applyFill="1" applyAlignment="1">
      <alignment horizontal="center" vertical="center"/>
    </xf>
    <xf numFmtId="0" fontId="11" fillId="0" borderId="0" xfId="0" applyFont="1" applyAlignment="1">
      <alignment horizontal="center" vertical="center"/>
    </xf>
    <xf numFmtId="0" fontId="7" fillId="2" borderId="0" xfId="0" applyFont="1" applyFill="1" applyAlignment="1">
      <alignment horizontal="center"/>
    </xf>
    <xf numFmtId="0" fontId="7" fillId="3" borderId="0" xfId="0" applyFont="1" applyFill="1" applyAlignment="1">
      <alignment horizontal="center"/>
    </xf>
    <xf numFmtId="164" fontId="7" fillId="2" borderId="0" xfId="0" applyNumberFormat="1" applyFont="1" applyFill="1" applyAlignment="1">
      <alignment horizontal="center"/>
    </xf>
    <xf numFmtId="0" fontId="0" fillId="0" borderId="0" xfId="0" applyAlignment="1">
      <alignment horizontal="center"/>
    </xf>
  </cellXfs>
  <cellStyles count="2">
    <cellStyle name="Normal" xfId="0" builtinId="0"/>
    <cellStyle name="Percent" xfId="1" builtinId="5"/>
  </cellStyles>
  <dxfs count="14">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font>
        <b val="0"/>
        <i val="0"/>
        <strike val="0"/>
        <condense val="0"/>
        <extend val="0"/>
        <outline val="0"/>
        <shadow val="0"/>
        <u val="none"/>
        <vertAlign val="baseline"/>
        <sz val="11"/>
        <color theme="1"/>
        <name val="Calibri"/>
        <family val="2"/>
        <scheme val="minor"/>
      </font>
      <numFmt numFmtId="14" formatCode="0.00%"/>
    </dxf>
    <dxf>
      <font>
        <b val="0"/>
        <i val="0"/>
        <strike val="0"/>
        <condense val="0"/>
        <extend val="0"/>
        <outline val="0"/>
        <shadow val="0"/>
        <u val="none"/>
        <vertAlign val="baseline"/>
        <sz val="11"/>
        <color theme="1"/>
        <name val="Calibri"/>
        <family val="2"/>
        <scheme val="minor"/>
      </font>
      <numFmt numFmtId="14" formatCode="0.00%"/>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32" formatCode="_ &quot;₹&quot;\ * #,##0_ ;_ &quot;₹&quot;\ * \-#,##0_ ;_ &quot;₹&quot;\ * &quot;-&quot;_ ;_ @_ "/>
    </dxf>
    <dxf>
      <numFmt numFmtId="20" formatCode="dd/mmm/yy"/>
    </dxf>
    <dxf>
      <font>
        <b/>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dxf>
  </dxfs>
  <tableStyles count="0" defaultTableStyle="TableStyleMedium9" defaultPivotStyle="PivotStyleLight16"/>
  <colors>
    <mruColors>
      <color rgb="FF52CE6D"/>
      <color rgb="FFCC9900"/>
      <color rgb="FF94DF4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[Fin.Analysis Dashboard with Macro.xlsm]Monthly rev vs exp!PivotTable2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kern="1200" spc="0" baseline="0">
                <a:solidFill>
                  <a:schemeClr val="accent1"/>
                </a:solidFill>
              </a:rPr>
              <a:t>Monthly Revenue vs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 rev vs exp'!$B$3</c:f>
              <c:strCache>
                <c:ptCount val="1"/>
                <c:pt idx="0">
                  <c:v>Revenue </c:v>
                </c:pt>
              </c:strCache>
            </c:strRef>
          </c:tx>
          <c:spPr>
            <a:solidFill>
              <a:schemeClr val="accent1"/>
            </a:solidFill>
            <a:ln>
              <a:noFill/>
            </a:ln>
            <a:effectLst/>
          </c:spPr>
          <c:invertIfNegative val="0"/>
          <c:cat>
            <c:strRef>
              <c:f>'Monthly rev vs exp'!$A$4:$A$16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 vs exp'!$B$4:$B$16</c:f>
              <c:numCache>
                <c:formatCode>_("₹"* #,##0_);_("₹"* \(#,##0\);_("₹"* "-"_);_(@_)</c:formatCode>
                <c:ptCount val="12"/>
                <c:pt idx="0">
                  <c:v>84000</c:v>
                </c:pt>
                <c:pt idx="1">
                  <c:v>109000</c:v>
                </c:pt>
                <c:pt idx="2">
                  <c:v>119000</c:v>
                </c:pt>
                <c:pt idx="3">
                  <c:v>118000</c:v>
                </c:pt>
                <c:pt idx="4">
                  <c:v>131000</c:v>
                </c:pt>
                <c:pt idx="5">
                  <c:v>138000</c:v>
                </c:pt>
                <c:pt idx="6">
                  <c:v>122500</c:v>
                </c:pt>
                <c:pt idx="7">
                  <c:v>130500</c:v>
                </c:pt>
                <c:pt idx="8">
                  <c:v>142000</c:v>
                </c:pt>
                <c:pt idx="9">
                  <c:v>132500</c:v>
                </c:pt>
                <c:pt idx="10">
                  <c:v>152000</c:v>
                </c:pt>
                <c:pt idx="11">
                  <c:v>167000</c:v>
                </c:pt>
              </c:numCache>
            </c:numRef>
          </c:val>
          <c:extLst>
            <c:ext xmlns:c16="http://schemas.microsoft.com/office/drawing/2014/chart" uri="{C3380CC4-5D6E-409C-BE32-E72D297353CC}">
              <c16:uniqueId val="{00000000-9E2A-416A-AA79-4382B83CFF29}"/>
            </c:ext>
          </c:extLst>
        </c:ser>
        <c:ser>
          <c:idx val="1"/>
          <c:order val="1"/>
          <c:tx>
            <c:strRef>
              <c:f>'Monthly rev vs exp'!$C$3</c:f>
              <c:strCache>
                <c:ptCount val="1"/>
                <c:pt idx="0">
                  <c:v>Expenses </c:v>
                </c:pt>
              </c:strCache>
            </c:strRef>
          </c:tx>
          <c:spPr>
            <a:solidFill>
              <a:schemeClr val="accent2"/>
            </a:solidFill>
            <a:ln>
              <a:noFill/>
            </a:ln>
            <a:effectLst/>
          </c:spPr>
          <c:invertIfNegative val="0"/>
          <c:cat>
            <c:strRef>
              <c:f>'Monthly rev vs exp'!$A$4:$A$16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 vs exp'!$C$4:$C$16</c:f>
              <c:numCache>
                <c:formatCode>_("₹"* #,##0_);_("₹"* \(#,##0\);_("₹"* "-"_);_(@_)</c:formatCode>
                <c:ptCount val="12"/>
                <c:pt idx="0">
                  <c:v>54000</c:v>
                </c:pt>
                <c:pt idx="1">
                  <c:v>66500</c:v>
                </c:pt>
                <c:pt idx="2">
                  <c:v>73000</c:v>
                </c:pt>
                <c:pt idx="3">
                  <c:v>72000</c:v>
                </c:pt>
                <c:pt idx="4">
                  <c:v>77000</c:v>
                </c:pt>
                <c:pt idx="5">
                  <c:v>81000</c:v>
                </c:pt>
                <c:pt idx="6">
                  <c:v>73000</c:v>
                </c:pt>
                <c:pt idx="7">
                  <c:v>75500</c:v>
                </c:pt>
                <c:pt idx="8">
                  <c:v>83000</c:v>
                </c:pt>
                <c:pt idx="9">
                  <c:v>85000</c:v>
                </c:pt>
                <c:pt idx="10">
                  <c:v>89000</c:v>
                </c:pt>
                <c:pt idx="11">
                  <c:v>95500</c:v>
                </c:pt>
              </c:numCache>
            </c:numRef>
          </c:val>
          <c:extLst>
            <c:ext xmlns:c16="http://schemas.microsoft.com/office/drawing/2014/chart" uri="{C3380CC4-5D6E-409C-BE32-E72D297353CC}">
              <c16:uniqueId val="{00000002-9E2A-416A-AA79-4382B83CFF29}"/>
            </c:ext>
          </c:extLst>
        </c:ser>
        <c:dLbls>
          <c:showLegendKey val="0"/>
          <c:showVal val="0"/>
          <c:showCatName val="0"/>
          <c:showSerName val="0"/>
          <c:showPercent val="0"/>
          <c:showBubbleSize val="0"/>
        </c:dLbls>
        <c:gapWidth val="219"/>
        <c:axId val="1627048703"/>
        <c:axId val="1627032383"/>
      </c:barChart>
      <c:catAx>
        <c:axId val="162704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2383"/>
        <c:crosses val="autoZero"/>
        <c:auto val="1"/>
        <c:lblAlgn val="ctr"/>
        <c:lblOffset val="100"/>
        <c:noMultiLvlLbl val="0"/>
      </c:catAx>
      <c:valAx>
        <c:axId val="16270323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48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[Fin.Analysis Dashboard with Macro.xlsm]Profit trend!PivotTable3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trend'!$B$3</c:f>
              <c:strCache>
                <c:ptCount val="1"/>
                <c:pt idx="0">
                  <c:v>Total</c:v>
                </c:pt>
              </c:strCache>
            </c:strRef>
          </c:tx>
          <c:spPr>
            <a:ln w="28575" cap="rnd">
              <a:solidFill>
                <a:schemeClr val="accent1"/>
              </a:solidFill>
              <a:round/>
            </a:ln>
            <a:effectLst/>
          </c:spPr>
          <c:marker>
            <c:symbol val="none"/>
          </c:marker>
          <c:cat>
            <c:strRef>
              <c:f>'Profit 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trend'!$B$4:$B$16</c:f>
              <c:numCache>
                <c:formatCode>_("₹"* #,##0_);_("₹"* \(#,##0\);_("₹"* "-"_);_(@_)</c:formatCode>
                <c:ptCount val="12"/>
                <c:pt idx="0">
                  <c:v>30000</c:v>
                </c:pt>
                <c:pt idx="1">
                  <c:v>42500</c:v>
                </c:pt>
                <c:pt idx="2">
                  <c:v>46000</c:v>
                </c:pt>
                <c:pt idx="3">
                  <c:v>46000</c:v>
                </c:pt>
                <c:pt idx="4">
                  <c:v>54000</c:v>
                </c:pt>
                <c:pt idx="5">
                  <c:v>57000</c:v>
                </c:pt>
                <c:pt idx="6">
                  <c:v>49500</c:v>
                </c:pt>
                <c:pt idx="7">
                  <c:v>55000</c:v>
                </c:pt>
                <c:pt idx="8">
                  <c:v>59000</c:v>
                </c:pt>
                <c:pt idx="9">
                  <c:v>47500</c:v>
                </c:pt>
                <c:pt idx="10">
                  <c:v>63000</c:v>
                </c:pt>
                <c:pt idx="11">
                  <c:v>71500</c:v>
                </c:pt>
              </c:numCache>
            </c:numRef>
          </c:val>
          <c:smooth val="0"/>
          <c:extLst>
            <c:ext xmlns:c16="http://schemas.microsoft.com/office/drawing/2014/chart" uri="{C3380CC4-5D6E-409C-BE32-E72D297353CC}">
              <c16:uniqueId val="{00000000-AD8A-4CF0-8630-35DB14900C52}"/>
            </c:ext>
          </c:extLst>
        </c:ser>
        <c:dLbls>
          <c:showLegendKey val="0"/>
          <c:showVal val="0"/>
          <c:showCatName val="0"/>
          <c:showSerName val="0"/>
          <c:showPercent val="0"/>
          <c:showBubbleSize val="0"/>
        </c:dLbls>
        <c:smooth val="0"/>
        <c:axId val="1627037183"/>
        <c:axId val="1627053983"/>
      </c:lineChart>
      <c:catAx>
        <c:axId val="16270371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53983"/>
        <c:crosses val="autoZero"/>
        <c:auto val="1"/>
        <c:lblAlgn val="ctr"/>
        <c:lblOffset val="100"/>
        <c:noMultiLvlLbl val="0"/>
      </c:catAx>
      <c:valAx>
        <c:axId val="16270539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71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kern="1200" spc="0" baseline="0">
                <a:solidFill>
                  <a:schemeClr val="accent1"/>
                </a:solidFill>
              </a:rPr>
              <a:t>Budget Variance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Revenue Variance</c:v>
          </c:tx>
          <c:spPr>
            <a:solidFill>
              <a:schemeClr val="accent1"/>
            </a:solidFill>
            <a:ln>
              <a:noFill/>
            </a:ln>
            <a:effectLst/>
          </c:spPr>
          <c:invertIfNegative val="0"/>
          <c:cat>
            <c:strRef>
              <c:f>'Variance analysis'!$A$4:$A$15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'Variance analysis'!$F$4:$F$15</c:f>
              <c:numCache>
                <c:formatCode>_("₹"* #,##0_);_("₹"* \(#,##0\);_("₹"* "-"_);_(@_)</c:formatCode>
                <c:ptCount val="12"/>
                <c:pt idx="0">
                  <c:v>4000</c:v>
                </c:pt>
                <c:pt idx="1">
                  <c:v>9000</c:v>
                </c:pt>
                <c:pt idx="2">
                  <c:v>9000</c:v>
                </c:pt>
                <c:pt idx="3">
                  <c:v>3000</c:v>
                </c:pt>
                <c:pt idx="4">
                  <c:v>11000</c:v>
                </c:pt>
                <c:pt idx="5">
                  <c:v>13000</c:v>
                </c:pt>
                <c:pt idx="6">
                  <c:v>4500</c:v>
                </c:pt>
                <c:pt idx="7">
                  <c:v>8500</c:v>
                </c:pt>
                <c:pt idx="8">
                  <c:v>12000</c:v>
                </c:pt>
                <c:pt idx="9">
                  <c:v>-2500</c:v>
                </c:pt>
                <c:pt idx="10">
                  <c:v>12000</c:v>
                </c:pt>
                <c:pt idx="11">
                  <c:v>27000</c:v>
                </c:pt>
              </c:numCache>
            </c:numRef>
          </c:val>
          <c:extLst>
            <c:ext xmlns:c16="http://schemas.microsoft.com/office/drawing/2014/chart" uri="{C3380CC4-5D6E-409C-BE32-E72D297353CC}">
              <c16:uniqueId val="{00000000-B264-4DD9-B06D-0510A2D9DD8F}"/>
            </c:ext>
          </c:extLst>
        </c:ser>
        <c:ser>
          <c:idx val="1"/>
          <c:order val="1"/>
          <c:tx>
            <c:v>Expense Variance</c:v>
          </c:tx>
          <c:spPr>
            <a:solidFill>
              <a:schemeClr val="accent2"/>
            </a:solidFill>
            <a:ln>
              <a:noFill/>
            </a:ln>
            <a:effectLst/>
          </c:spPr>
          <c:invertIfNegative val="0"/>
          <c:cat>
            <c:strRef>
              <c:f>'Variance analysis'!$A$4:$A$15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'Variance analysis'!$G$4:$G$15</c:f>
              <c:numCache>
                <c:formatCode>_("₹"* #,##0_);_("₹"* \(#,##0\);_("₹"* "-"_);_(@_)</c:formatCode>
                <c:ptCount val="12"/>
                <c:pt idx="0">
                  <c:v>-4000</c:v>
                </c:pt>
                <c:pt idx="1">
                  <c:v>-1500</c:v>
                </c:pt>
                <c:pt idx="2">
                  <c:v>-3000</c:v>
                </c:pt>
                <c:pt idx="3">
                  <c:v>0</c:v>
                </c:pt>
                <c:pt idx="4">
                  <c:v>-2000</c:v>
                </c:pt>
                <c:pt idx="5">
                  <c:v>-3000</c:v>
                </c:pt>
                <c:pt idx="6">
                  <c:v>1000</c:v>
                </c:pt>
                <c:pt idx="7">
                  <c:v>500</c:v>
                </c:pt>
                <c:pt idx="8">
                  <c:v>-3000</c:v>
                </c:pt>
                <c:pt idx="9">
                  <c:v>-2000</c:v>
                </c:pt>
                <c:pt idx="10">
                  <c:v>-2000</c:v>
                </c:pt>
                <c:pt idx="11">
                  <c:v>-3500</c:v>
                </c:pt>
              </c:numCache>
            </c:numRef>
          </c:val>
          <c:extLst>
            <c:ext xmlns:c16="http://schemas.microsoft.com/office/drawing/2014/chart" uri="{C3380CC4-5D6E-409C-BE32-E72D297353CC}">
              <c16:uniqueId val="{00000001-B264-4DD9-B06D-0510A2D9DD8F}"/>
            </c:ext>
          </c:extLst>
        </c:ser>
        <c:dLbls>
          <c:showLegendKey val="0"/>
          <c:showVal val="0"/>
          <c:showCatName val="0"/>
          <c:showSerName val="0"/>
          <c:showPercent val="0"/>
          <c:showBubbleSize val="0"/>
        </c:dLbls>
        <c:gapWidth val="182"/>
        <c:axId val="742543904"/>
        <c:axId val="742543424"/>
      </c:barChart>
      <c:catAx>
        <c:axId val="742543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30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742543424"/>
        <c:crosses val="autoZero"/>
        <c:auto val="1"/>
        <c:lblAlgn val="ctr"/>
        <c:lblOffset val="100"/>
        <c:noMultiLvlLbl val="0"/>
      </c:catAx>
      <c:valAx>
        <c:axId val="7425434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543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[Fin.Analysis Dashboard with Macro.xlsm]Monthly rev vs exp!PivotTable2</c:name>
    <c:fmtId val="16"/>
  </c:pivotSource>
  <c:chart>
    <c:title>
      <c:tx>
        <c:rich>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r>
              <a:rPr lang="en-IN" sz="1400" b="0" i="0" u="none" strike="noStrike" baseline="0">
                <a:solidFill>
                  <a:schemeClr val="accent1"/>
                </a:solidFill>
              </a:rPr>
              <a:t>Monthly Revenue vs Expenses</a:t>
            </a:r>
            <a:endParaRPr lang="en-IN">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'Monthly rev vs exp'!$B$3</c:f>
              <c:strCache>
                <c:ptCount val="1"/>
                <c:pt idx="0">
                  <c:v>Revenue </c:v>
                </c:pt>
              </c:strCache>
            </c:strRef>
          </c:tx>
          <c:spPr>
            <a:solidFill>
              <a:schemeClr val="accent3"/>
            </a:solidFill>
            <a:ln>
              <a:noFill/>
            </a:ln>
            <a:effectLst/>
          </c:spPr>
          <c:invertIfNegative val="0"/>
          <c:cat>
            <c:strRef>
              <c:f>'Monthly rev vs exp'!$A$4:$A$16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 vs exp'!$B$4:$B$16</c:f>
              <c:numCache>
                <c:formatCode>_("₹"* #,##0_);_("₹"* \(#,##0\);_("₹"* "-"_);_(@_)</c:formatCode>
                <c:ptCount val="12"/>
                <c:pt idx="0">
                  <c:v>84000</c:v>
                </c:pt>
                <c:pt idx="1">
                  <c:v>109000</c:v>
                </c:pt>
                <c:pt idx="2">
                  <c:v>119000</c:v>
                </c:pt>
                <c:pt idx="3">
                  <c:v>118000</c:v>
                </c:pt>
                <c:pt idx="4">
                  <c:v>131000</c:v>
                </c:pt>
                <c:pt idx="5">
                  <c:v>138000</c:v>
                </c:pt>
                <c:pt idx="6">
                  <c:v>122500</c:v>
                </c:pt>
                <c:pt idx="7">
                  <c:v>130500</c:v>
                </c:pt>
                <c:pt idx="8">
                  <c:v>142000</c:v>
                </c:pt>
                <c:pt idx="9">
                  <c:v>132500</c:v>
                </c:pt>
                <c:pt idx="10">
                  <c:v>152000</c:v>
                </c:pt>
                <c:pt idx="11">
                  <c:v>167000</c:v>
                </c:pt>
              </c:numCache>
            </c:numRef>
          </c:val>
          <c:extLst>
            <c:ext xmlns:c16="http://schemas.microsoft.com/office/drawing/2014/chart" uri="{C3380CC4-5D6E-409C-BE32-E72D297353CC}">
              <c16:uniqueId val="{00000000-F411-4BC7-90D6-633E7CA702D4}"/>
            </c:ext>
          </c:extLst>
        </c:ser>
        <c:ser>
          <c:idx val="1"/>
          <c:order val="1"/>
          <c:tx>
            <c:strRef>
              <c:f>'Monthly rev vs exp'!$C$3</c:f>
              <c:strCache>
                <c:ptCount val="1"/>
                <c:pt idx="0">
                  <c:v>Expenses </c:v>
                </c:pt>
              </c:strCache>
            </c:strRef>
          </c:tx>
          <c:spPr>
            <a:solidFill>
              <a:schemeClr val="accent2"/>
            </a:solidFill>
            <a:ln>
              <a:noFill/>
            </a:ln>
            <a:effectLst/>
          </c:spPr>
          <c:invertIfNegative val="0"/>
          <c:cat>
            <c:strRef>
              <c:f>'Monthly rev vs exp'!$A$4:$A$16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rev vs exp'!$C$4:$C$16</c:f>
              <c:numCache>
                <c:formatCode>_("₹"* #,##0_);_("₹"* \(#,##0\);_("₹"* "-"_);_(@_)</c:formatCode>
                <c:ptCount val="12"/>
                <c:pt idx="0">
                  <c:v>54000</c:v>
                </c:pt>
                <c:pt idx="1">
                  <c:v>66500</c:v>
                </c:pt>
                <c:pt idx="2">
                  <c:v>73000</c:v>
                </c:pt>
                <c:pt idx="3">
                  <c:v>72000</c:v>
                </c:pt>
                <c:pt idx="4">
                  <c:v>77000</c:v>
                </c:pt>
                <c:pt idx="5">
                  <c:v>81000</c:v>
                </c:pt>
                <c:pt idx="6">
                  <c:v>73000</c:v>
                </c:pt>
                <c:pt idx="7">
                  <c:v>75500</c:v>
                </c:pt>
                <c:pt idx="8">
                  <c:v>83000</c:v>
                </c:pt>
                <c:pt idx="9">
                  <c:v>85000</c:v>
                </c:pt>
                <c:pt idx="10">
                  <c:v>89000</c:v>
                </c:pt>
                <c:pt idx="11">
                  <c:v>95500</c:v>
                </c:pt>
              </c:numCache>
            </c:numRef>
          </c:val>
          <c:extLst>
            <c:ext xmlns:c16="http://schemas.microsoft.com/office/drawing/2014/chart" uri="{C3380CC4-5D6E-409C-BE32-E72D297353CC}">
              <c16:uniqueId val="{00000001-F411-4BC7-90D6-633E7CA702D4}"/>
            </c:ext>
          </c:extLst>
        </c:ser>
        <c:dLbls>
          <c:showLegendKey val="0"/>
          <c:showVal val="0"/>
          <c:showCatName val="0"/>
          <c:showSerName val="0"/>
          <c:showPercent val="0"/>
          <c:showBubbleSize val="0"/>
        </c:dLbls>
        <c:gapWidth val="219"/>
        <c:axId val="1627048703"/>
        <c:axId val="1627032383"/>
      </c:barChart>
      <c:catAx>
        <c:axId val="162704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2383"/>
        <c:crosses val="autoZero"/>
        <c:auto val="1"/>
        <c:lblAlgn val="ctr"/>
        <c:lblOffset val="100"/>
        <c:noMultiLvlLbl val="0"/>
      </c:catAx>
      <c:valAx>
        <c:axId val="16270323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48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[Fin.Analysis Dashboard with Macro.xlsm]Profit trend!PivotTable3</c:name>
    <c:fmtId val="14"/>
  </c:pivotSource>
  <c:chart>
    <c:title>
      <c:tx>
        <c:rich>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r>
              <a:rPr lang="en-IN" sz="1400" b="0" i="0" u="none" strike="noStrike" baseline="0">
                <a:solidFill>
                  <a:schemeClr val="accent1"/>
                </a:solidFill>
              </a:rPr>
              <a:t>Monthly Profit Trend</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656491372629063"/>
          <c:y val="0.14991947291628205"/>
          <c:w val="0.69438294530833455"/>
          <c:h val="0.74536171826331898"/>
        </c:manualLayout>
      </c:layout>
      <c:lineChart>
        <c:grouping val="standard"/>
        <c:varyColors val="0"/>
        <c:ser>
          <c:idx val="0"/>
          <c:order val="0"/>
          <c:tx>
            <c:strRef>
              <c:f>'Profit trend'!$B$3</c:f>
              <c:strCache>
                <c:ptCount val="1"/>
                <c:pt idx="0">
                  <c:v>Total</c:v>
                </c:pt>
              </c:strCache>
            </c:strRef>
          </c:tx>
          <c:spPr>
            <a:ln w="28575" cap="rnd">
              <a:solidFill>
                <a:schemeClr val="accent1"/>
              </a:solidFill>
              <a:round/>
            </a:ln>
            <a:effectLst/>
          </c:spPr>
          <c:marker>
            <c:symbol val="none"/>
          </c:marker>
          <c:cat>
            <c:strRef>
              <c:f>'Profit 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'Profit trend'!$B$4:$B$16</c:f>
              <c:numCache>
                <c:formatCode>_("₹"* #,##0_);_("₹"* \(#,##0\);_("₹"* "-"_);_(@_)</c:formatCode>
                <c:ptCount val="12"/>
                <c:pt idx="0">
                  <c:v>30000</c:v>
                </c:pt>
                <c:pt idx="1">
                  <c:v>42500</c:v>
                </c:pt>
                <c:pt idx="2">
                  <c:v>46000</c:v>
                </c:pt>
                <c:pt idx="3">
                  <c:v>46000</c:v>
                </c:pt>
                <c:pt idx="4">
                  <c:v>54000</c:v>
                </c:pt>
                <c:pt idx="5">
                  <c:v>57000</c:v>
                </c:pt>
                <c:pt idx="6">
                  <c:v>49500</c:v>
                </c:pt>
                <c:pt idx="7">
                  <c:v>55000</c:v>
                </c:pt>
                <c:pt idx="8">
                  <c:v>59000</c:v>
                </c:pt>
                <c:pt idx="9">
                  <c:v>47500</c:v>
                </c:pt>
                <c:pt idx="10">
                  <c:v>63000</c:v>
                </c:pt>
                <c:pt idx="11">
                  <c:v>71500</c:v>
                </c:pt>
              </c:numCache>
            </c:numRef>
          </c:val>
          <c:smooth val="0"/>
          <c:extLst>
            <c:ext xmlns:c16="http://schemas.microsoft.com/office/drawing/2014/chart" uri="{C3380CC4-5D6E-409C-BE32-E72D297353CC}">
              <c16:uniqueId val="{00000000-05BB-43E1-BDC2-4280475E622C}"/>
            </c:ext>
          </c:extLst>
        </c:ser>
        <c:dLbls>
          <c:showLegendKey val="0"/>
          <c:showVal val="0"/>
          <c:showCatName val="0"/>
          <c:showSerName val="0"/>
          <c:showPercent val="0"/>
          <c:showBubbleSize val="0"/>
        </c:dLbls>
        <c:smooth val="0"/>
        <c:axId val="1627037183"/>
        <c:axId val="1627053983"/>
      </c:lineChart>
      <c:catAx>
        <c:axId val="162703718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53983"/>
        <c:crosses val="autoZero"/>
        <c:auto val="1"/>
        <c:lblAlgn val="ctr"/>
        <c:lblOffset val="100"/>
        <c:noMultiLvlLbl val="0"/>
      </c:catAx>
      <c:valAx>
        <c:axId val="162705398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037183"/>
        <c:crosses val="autoZero"/>
        <c:crossBetween val="between"/>
      </c:valAx>
      <c:spPr>
        <a:noFill/>
        <a:ln>
          <a:noFill/>
        </a:ln>
        <a:effectLst/>
      </c:spPr>
    </c:plotArea>
    <c:legend>
      <c:legendPos val="r"/>
      <c:layout>
        <c:manualLayout>
          <c:xMode val="edge"/>
          <c:yMode val="edge"/>
          <c:x val="0.83975622050130594"/>
          <c:y val="0.53034712339814594"/>
          <c:w val="0.14260878500442264"/>
          <c:h val="7.750523930846553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r>
              <a:rPr lang="en-IN" sz="1400" b="0" i="0" u="none" strike="noStrike" baseline="0">
                <a:solidFill>
                  <a:schemeClr val="accent1"/>
                </a:solidFill>
              </a:rPr>
              <a:t>Budget Variance Analysis</a:t>
            </a:r>
            <a:endParaRPr lang="en-IN">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1"/>
              </a:solidFill>
              <a:latin typeface="+mn-lt"/>
              <a:ea typeface="+mn-ea"/>
              <a:cs typeface="+mn-cs"/>
            </a:defRPr>
          </a:pPr>
          <a:endParaRPr lang="en-IN"/>
        </a:p>
      </c:txPr>
    </c:title>
    <c:autoTitleDeleted val="0"/>
    <c:plotArea>
      <c:layout>
        <c:manualLayout>
          <c:layoutTarget val="inner"/>
          <c:xMode val="edge"/>
          <c:yMode val="edge"/>
          <c:x val="0.12009546530037908"/>
          <c:y val="0.11749469548768203"/>
          <c:w val="0.87990371207562124"/>
          <c:h val="0.85877209785301367"/>
        </c:manualLayout>
      </c:layout>
      <c:barChart>
        <c:barDir val="col"/>
        <c:grouping val="clustered"/>
        <c:varyColors val="0"/>
        <c:ser>
          <c:idx val="0"/>
          <c:order val="0"/>
          <c:tx>
            <c:v>Revenue Variance</c:v>
          </c:tx>
          <c:spPr>
            <a:solidFill>
              <a:schemeClr val="accent3"/>
            </a:solidFill>
            <a:ln>
              <a:noFill/>
            </a:ln>
            <a:effectLst/>
          </c:spPr>
          <c:invertIfNegative val="0"/>
          <c:cat>
            <c:strRef>
              <c:f>'Variance analysis'!$A$4:$A$15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'Variance analysis'!$F$4:$F$15</c:f>
              <c:numCache>
                <c:formatCode>_("₹"* #,##0_);_("₹"* \(#,##0\);_("₹"* "-"_);_(@_)</c:formatCode>
                <c:ptCount val="12"/>
                <c:pt idx="0">
                  <c:v>4000</c:v>
                </c:pt>
                <c:pt idx="1">
                  <c:v>9000</c:v>
                </c:pt>
                <c:pt idx="2">
                  <c:v>9000</c:v>
                </c:pt>
                <c:pt idx="3">
                  <c:v>3000</c:v>
                </c:pt>
                <c:pt idx="4">
                  <c:v>11000</c:v>
                </c:pt>
                <c:pt idx="5">
                  <c:v>13000</c:v>
                </c:pt>
                <c:pt idx="6">
                  <c:v>4500</c:v>
                </c:pt>
                <c:pt idx="7">
                  <c:v>8500</c:v>
                </c:pt>
                <c:pt idx="8">
                  <c:v>12000</c:v>
                </c:pt>
                <c:pt idx="9">
                  <c:v>-2500</c:v>
                </c:pt>
                <c:pt idx="10">
                  <c:v>12000</c:v>
                </c:pt>
                <c:pt idx="11">
                  <c:v>27000</c:v>
                </c:pt>
              </c:numCache>
            </c:numRef>
          </c:val>
          <c:extLst>
            <c:ext xmlns:c16="http://schemas.microsoft.com/office/drawing/2014/chart" uri="{C3380CC4-5D6E-409C-BE32-E72D297353CC}">
              <c16:uniqueId val="{00000000-0ED0-465C-994A-BFD44E3FB138}"/>
            </c:ext>
          </c:extLst>
        </c:ser>
        <c:ser>
          <c:idx val="1"/>
          <c:order val="1"/>
          <c:tx>
            <c:v>Expense Variance</c:v>
          </c:tx>
          <c:spPr>
            <a:solidFill>
              <a:schemeClr val="accent2"/>
            </a:solidFill>
            <a:ln>
              <a:noFill/>
            </a:ln>
            <a:effectLst/>
          </c:spPr>
          <c:invertIfNegative val="0"/>
          <c:cat>
            <c:strRef>
              <c:f>'Variance analysis'!$A$4:$A$15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'Variance analysis'!$G$4:$G$15</c:f>
              <c:numCache>
                <c:formatCode>_("₹"* #,##0_);_("₹"* \(#,##0\);_("₹"* "-"_);_(@_)</c:formatCode>
                <c:ptCount val="12"/>
                <c:pt idx="0">
                  <c:v>-4000</c:v>
                </c:pt>
                <c:pt idx="1">
                  <c:v>-1500</c:v>
                </c:pt>
                <c:pt idx="2">
                  <c:v>-3000</c:v>
                </c:pt>
                <c:pt idx="3">
                  <c:v>0</c:v>
                </c:pt>
                <c:pt idx="4">
                  <c:v>-2000</c:v>
                </c:pt>
                <c:pt idx="5">
                  <c:v>-3000</c:v>
                </c:pt>
                <c:pt idx="6">
                  <c:v>1000</c:v>
                </c:pt>
                <c:pt idx="7">
                  <c:v>500</c:v>
                </c:pt>
                <c:pt idx="8">
                  <c:v>-3000</c:v>
                </c:pt>
                <c:pt idx="9">
                  <c:v>-2000</c:v>
                </c:pt>
                <c:pt idx="10">
                  <c:v>-2000</c:v>
                </c:pt>
                <c:pt idx="11">
                  <c:v>-3500</c:v>
                </c:pt>
              </c:numCache>
            </c:numRef>
          </c:val>
          <c:extLst>
            <c:ext xmlns:c16="http://schemas.microsoft.com/office/drawing/2014/chart" uri="{C3380CC4-5D6E-409C-BE32-E72D297353CC}">
              <c16:uniqueId val="{00000001-0ED0-465C-994A-BFD44E3FB138}"/>
            </c:ext>
          </c:extLst>
        </c:ser>
        <c:dLbls>
          <c:showLegendKey val="0"/>
          <c:showVal val="0"/>
          <c:showCatName val="0"/>
          <c:showSerName val="0"/>
          <c:showPercent val="0"/>
          <c:showBubbleSize val="0"/>
        </c:dLbls>
        <c:gapWidth val="182"/>
        <c:axId val="742543904"/>
        <c:axId val="742543424"/>
      </c:barChart>
      <c:catAx>
        <c:axId val="7425439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15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742543424"/>
        <c:crosses val="autoZero"/>
        <c:auto val="1"/>
        <c:lblAlgn val="ctr"/>
        <c:lblOffset val="100"/>
        <c:noMultiLvlLbl val="0"/>
      </c:catAx>
      <c:valAx>
        <c:axId val="7425434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543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601980</xdr:colOff>
      <xdr:row>1</xdr:row>
      <xdr:rowOff>179070</xdr:rowOff>
    </xdr:from>
    <xdr:to>
      <xdr:col>11</xdr:col>
      <xdr:colOff>297180</xdr:colOff>
      <xdr:row>16</xdr:row>
      <xdr:rowOff>179070</xdr:rowOff>
    </xdr:to>
    <xdr:graphicFrame macro="">
      <xdr:nvGraphicFramePr>
        <xdr:cNvPr id="2" name="Chart 1">
          <a:extLst>
            <a:ext uri="{FF2B5EF4-FFF2-40B4-BE49-F238E27FC236}">
              <a16:creationId xmlns:a16="http://schemas.microsoft.com/office/drawing/2014/main" id="{738A44BD-0A5C-487C-EDD5-E18D62C15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xdr:colOff>
      <xdr:row>1</xdr:row>
      <xdr:rowOff>163830</xdr:rowOff>
    </xdr:from>
    <xdr:to>
      <xdr:col>10</xdr:col>
      <xdr:colOff>320040</xdr:colOff>
      <xdr:row>16</xdr:row>
      <xdr:rowOff>163830</xdr:rowOff>
    </xdr:to>
    <xdr:graphicFrame macro="">
      <xdr:nvGraphicFramePr>
        <xdr:cNvPr id="2" name="Chart 1">
          <a:extLst>
            <a:ext uri="{FF2B5EF4-FFF2-40B4-BE49-F238E27FC236}">
              <a16:creationId xmlns:a16="http://schemas.microsoft.com/office/drawing/2014/main" id="{A1273FF4-FC7A-83D4-0085-BAC6629D88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255723</xdr:colOff>
      <xdr:row>2</xdr:row>
      <xdr:rowOff>9788</xdr:rowOff>
    </xdr:from>
    <xdr:to>
      <xdr:col>19</xdr:col>
      <xdr:colOff>234462</xdr:colOff>
      <xdr:row>19</xdr:row>
      <xdr:rowOff>62644</xdr:rowOff>
    </xdr:to>
    <xdr:graphicFrame macro="">
      <xdr:nvGraphicFramePr>
        <xdr:cNvPr id="6" name="Chart 5">
          <a:extLst>
            <a:ext uri="{FF2B5EF4-FFF2-40B4-BE49-F238E27FC236}">
              <a16:creationId xmlns:a16="http://schemas.microsoft.com/office/drawing/2014/main" id="{4170AD22-DF3E-BCE3-B090-AA19387892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551834</xdr:colOff>
      <xdr:row>4</xdr:row>
      <xdr:rowOff>18031</xdr:rowOff>
    </xdr:from>
    <xdr:to>
      <xdr:col>9</xdr:col>
      <xdr:colOff>444020</xdr:colOff>
      <xdr:row>19</xdr:row>
      <xdr:rowOff>39585</xdr:rowOff>
    </xdr:to>
    <xdr:graphicFrame macro="">
      <xdr:nvGraphicFramePr>
        <xdr:cNvPr id="2" name="Chart 1">
          <a:extLst>
            <a:ext uri="{FF2B5EF4-FFF2-40B4-BE49-F238E27FC236}">
              <a16:creationId xmlns:a16="http://schemas.microsoft.com/office/drawing/2014/main" id="{EE21FF32-952A-4F9A-A026-CD9B4B243D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454679</xdr:colOff>
      <xdr:row>4</xdr:row>
      <xdr:rowOff>9067</xdr:rowOff>
    </xdr:from>
    <xdr:to>
      <xdr:col>16</xdr:col>
      <xdr:colOff>538111</xdr:colOff>
      <xdr:row>19</xdr:row>
      <xdr:rowOff>69273</xdr:rowOff>
    </xdr:to>
    <xdr:graphicFrame macro="">
      <xdr:nvGraphicFramePr>
        <xdr:cNvPr id="3" name="Chart 2">
          <a:extLst>
            <a:ext uri="{FF2B5EF4-FFF2-40B4-BE49-F238E27FC236}">
              <a16:creationId xmlns:a16="http://schemas.microsoft.com/office/drawing/2014/main" id="{81748097-1727-4D91-B0E2-2F484C7BC8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542681</xdr:colOff>
      <xdr:row>19</xdr:row>
      <xdr:rowOff>49481</xdr:rowOff>
    </xdr:from>
    <xdr:to>
      <xdr:col>9</xdr:col>
      <xdr:colOff>447040</xdr:colOff>
      <xdr:row>35</xdr:row>
      <xdr:rowOff>89065</xdr:rowOff>
    </xdr:to>
    <xdr:graphicFrame macro="">
      <xdr:nvGraphicFramePr>
        <xdr:cNvPr id="4" name="Chart 3">
          <a:extLst>
            <a:ext uri="{FF2B5EF4-FFF2-40B4-BE49-F238E27FC236}">
              <a16:creationId xmlns:a16="http://schemas.microsoft.com/office/drawing/2014/main" id="{908FF648-9645-49E9-A4F4-A1E85D85BD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551060</xdr:colOff>
      <xdr:row>0</xdr:row>
      <xdr:rowOff>0</xdr:rowOff>
    </xdr:from>
    <xdr:to>
      <xdr:col>19</xdr:col>
      <xdr:colOff>89064</xdr:colOff>
      <xdr:row>19</xdr:row>
      <xdr:rowOff>69272</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2D7D6B41-2F71-B5BC-AD5A-82B44ABFD78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9648023" y="0"/>
              <a:ext cx="1821656" cy="34282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458561</xdr:colOff>
      <xdr:row>19</xdr:row>
      <xdr:rowOff>61177</xdr:rowOff>
    </xdr:from>
    <xdr:to>
      <xdr:col>19</xdr:col>
      <xdr:colOff>118753</xdr:colOff>
      <xdr:row>35</xdr:row>
      <xdr:rowOff>79169</xdr:rowOff>
    </xdr:to>
    <xdr:sp macro="" textlink="">
      <xdr:nvSpPr>
        <xdr:cNvPr id="7" name="TextBox 6">
          <a:extLst>
            <a:ext uri="{FF2B5EF4-FFF2-40B4-BE49-F238E27FC236}">
              <a16:creationId xmlns:a16="http://schemas.microsoft.com/office/drawing/2014/main" id="{1A1C6A90-966B-D480-46B8-B38300FA6EAB}"/>
            </a:ext>
          </a:extLst>
        </xdr:cNvPr>
        <xdr:cNvSpPr txBox="1"/>
      </xdr:nvSpPr>
      <xdr:spPr>
        <a:xfrm>
          <a:off x="5663912" y="3534709"/>
          <a:ext cx="5617646" cy="2917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i="0" u="none" strike="noStrike">
              <a:solidFill>
                <a:schemeClr val="dk1"/>
              </a:solidFill>
              <a:effectLst/>
              <a:latin typeface="+mn-lt"/>
              <a:ea typeface="+mn-ea"/>
              <a:cs typeface="+mn-cs"/>
            </a:rPr>
            <a:t>Financial</a:t>
          </a:r>
          <a:r>
            <a:rPr lang="en-IN" sz="1100" b="1" i="0" u="none" strike="noStrike" baseline="0">
              <a:solidFill>
                <a:schemeClr val="dk1"/>
              </a:solidFill>
              <a:effectLst/>
              <a:latin typeface="+mn-lt"/>
              <a:ea typeface="+mn-ea"/>
              <a:cs typeface="+mn-cs"/>
            </a:rPr>
            <a:t> </a:t>
          </a:r>
          <a:r>
            <a:rPr lang="en-IN" sz="1100" b="1" i="0" u="none" strike="noStrike">
              <a:solidFill>
                <a:schemeClr val="dk1"/>
              </a:solidFill>
              <a:effectLst/>
              <a:latin typeface="+mn-lt"/>
              <a:ea typeface="+mn-ea"/>
              <a:cs typeface="+mn-cs"/>
            </a:rPr>
            <a:t>Performance Insights — 2024</a:t>
          </a:r>
          <a:r>
            <a:rPr lang="en-IN">
              <a:effectLst/>
            </a:rPr>
            <a:t> </a:t>
          </a:r>
          <a:br>
            <a:rPr lang="en-IN">
              <a:effectLst/>
            </a:rPr>
          </a:br>
          <a:r>
            <a:rPr lang="en-IN" sz="1100" b="1" i="0" u="none" strike="noStrike">
              <a:solidFill>
                <a:schemeClr val="dk1"/>
              </a:solidFill>
              <a:effectLst/>
              <a:latin typeface="+mn-lt"/>
              <a:ea typeface="+mn-ea"/>
              <a:cs typeface="+mn-cs"/>
            </a:rPr>
            <a:t>Overall Summary:</a:t>
          </a:r>
          <a:r>
            <a:rPr lang="en-IN">
              <a:effectLst/>
            </a:rPr>
            <a:t> </a:t>
          </a:r>
          <a:r>
            <a:rPr lang="en-IN" sz="1100" b="0" i="1" u="none" strike="noStrike">
              <a:solidFill>
                <a:schemeClr val="dk1"/>
              </a:solidFill>
              <a:effectLst/>
              <a:latin typeface="+mn-lt"/>
              <a:ea typeface="+mn-ea"/>
              <a:cs typeface="+mn-cs"/>
            </a:rPr>
            <a:t>"The business generated total revenue of ₹15,45,500 against total expenses of ₹9,24,500, delivering a net profit of ₹6,21,000 with an average profit margin of 39.63% across 2024 — indicating strong and consistent financial health"</a:t>
          </a:r>
          <a:r>
            <a:rPr lang="en-IN">
              <a:effectLst/>
            </a:rPr>
            <a:t> </a:t>
          </a:r>
        </a:p>
        <a:p>
          <a:r>
            <a:rPr lang="en-IN" sz="1100" b="1" i="0" u="none" strike="noStrike">
              <a:solidFill>
                <a:schemeClr val="dk1"/>
              </a:solidFill>
              <a:effectLst/>
              <a:latin typeface="+mn-lt"/>
              <a:ea typeface="+mn-ea"/>
              <a:cs typeface="+mn-cs"/>
            </a:rPr>
            <a:t>Revenue Performance:</a:t>
          </a:r>
          <a:r>
            <a:rPr lang="en-IN">
              <a:effectLst/>
            </a:rPr>
            <a:t> </a:t>
          </a:r>
          <a:r>
            <a:rPr lang="en-IN" sz="1100" b="0" i="1" u="none" strike="noStrike">
              <a:solidFill>
                <a:schemeClr val="dk1"/>
              </a:solidFill>
              <a:effectLst/>
              <a:latin typeface="+mn-lt"/>
              <a:ea typeface="+mn-ea"/>
              <a:cs typeface="+mn-cs"/>
            </a:rPr>
            <a:t>"Revenue grew consistently from January through December, with December emerging as the best performing month. Revenue exceeded budget targets across all 12 months reflecting strong sales execution"</a:t>
          </a:r>
          <a:r>
            <a:rPr lang="en-IN">
              <a:effectLst/>
            </a:rPr>
            <a:t> </a:t>
          </a:r>
          <a:br>
            <a:rPr lang="en-IN">
              <a:effectLst/>
            </a:rPr>
          </a:br>
          <a:r>
            <a:rPr lang="en-IN" sz="1100" b="1" i="0" u="none" strike="noStrike">
              <a:solidFill>
                <a:schemeClr val="dk1"/>
              </a:solidFill>
              <a:effectLst/>
              <a:latin typeface="+mn-lt"/>
              <a:ea typeface="+mn-ea"/>
              <a:cs typeface="+mn-cs"/>
            </a:rPr>
            <a:t>Profit Trend:</a:t>
          </a:r>
          <a:r>
            <a:rPr lang="en-IN">
              <a:effectLst/>
            </a:rPr>
            <a:t> </a:t>
          </a:r>
          <a:r>
            <a:rPr lang="en-IN" sz="1100" b="0" i="1" u="none" strike="noStrike">
              <a:solidFill>
                <a:schemeClr val="dk1"/>
              </a:solidFill>
              <a:effectLst/>
              <a:latin typeface="+mn-lt"/>
              <a:ea typeface="+mn-ea"/>
              <a:cs typeface="+mn-cs"/>
            </a:rPr>
            <a:t>"Profit followed an upward trajectory throughout the year, starting low in January and peaking in December. The average profit margin of 39.63% indicates healthy profitability maintained across all months"</a:t>
          </a:r>
          <a:r>
            <a:rPr lang="en-IN">
              <a:effectLst/>
            </a:rPr>
            <a:t> </a:t>
          </a:r>
          <a:br>
            <a:rPr lang="en-IN">
              <a:effectLst/>
            </a:rPr>
          </a:br>
          <a:r>
            <a:rPr lang="en-IN" b="1"/>
            <a:t>Variance Analysis: </a:t>
          </a:r>
          <a:r>
            <a:rPr lang="en-IN" i="1"/>
            <a:t>"December recorded the highest revenue variance, confirming strongest budget outperformance at year end. Q4 consistently showed highest variance across both revenue and profit metrics"</a:t>
          </a:r>
          <a:br>
            <a:rPr lang="en-IN" i="1"/>
          </a:br>
          <a:r>
            <a:rPr lang="en-IN" b="1" i="1"/>
            <a:t>Quarter Highlights:</a:t>
          </a:r>
          <a:r>
            <a:rPr lang="en-IN" b="0" i="1" baseline="0"/>
            <a:t> </a:t>
          </a:r>
          <a:r>
            <a:rPr lang="en-IN" i="1"/>
            <a:t>"Q1 recorded the slowest performance while Q4 drove the strongest results. This seasonal pattern suggests business momentum builds progressively through the year"</a:t>
          </a:r>
          <a:endParaRPr lang="en-IN" b="1" i="1">
            <a:effectLst/>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ishnavee K Haridas" refreshedDate="46221.725841782405" createdVersion="8" refreshedVersion="8" minRefreshableVersion="3" recordCount="48" xr:uid="{450D40B2-2F2D-4286-B4A6-F89D054F4D5F}">
  <cacheSource type="worksheet">
    <worksheetSource name="Table1"/>
  </cacheSource>
  <cacheFields count="12">
    <cacheField name="Date" numFmtId="15">
      <sharedItems containsSemiMixedTypes="0" containsNonDate="0" containsDate="1" containsString="0" minDate="2024-01-01T00:00:00" maxDate="2024-12-29T00:00:00"/>
    </cacheField>
    <cacheField name="Revenue" numFmtId="42">
      <sharedItems containsSemiMixedTypes="0" containsString="0" containsNumber="1" containsInteger="1" minValue="18000" maxValue="43000"/>
    </cacheField>
    <cacheField name="Expenses" numFmtId="42">
      <sharedItems containsSemiMixedTypes="0" containsString="0" containsNumber="1" containsInteger="1" minValue="12000" maxValue="25000"/>
    </cacheField>
    <cacheField name="Month" numFmtId="0">
      <sharedItems count="12">
        <s v="Jan"/>
        <s v="Feb"/>
        <s v="Mar"/>
        <s v="Apr"/>
        <s v="May"/>
        <s v="Jun"/>
        <s v="Jul"/>
        <s v="Aug"/>
        <s v="Sep"/>
        <s v="Oct"/>
        <s v="Nov"/>
        <s v="Dec"/>
      </sharedItems>
    </cacheField>
    <cacheField name="Budget Revenue" numFmtId="42">
      <sharedItems containsSemiMixedTypes="0" containsString="0" containsNumber="1" containsInteger="1" minValue="80000" maxValue="140000"/>
    </cacheField>
    <cacheField name="Budget Expenses" numFmtId="42">
      <sharedItems containsSemiMixedTypes="0" containsString="0" containsNumber="1" containsInteger="1" minValue="50000" maxValue="92000"/>
    </cacheField>
    <cacheField name="Profit" numFmtId="42">
      <sharedItems containsSemiMixedTypes="0" containsString="0" containsNumber="1" containsInteger="1" minValue="1000" maxValue="18500"/>
    </cacheField>
    <cacheField name="Revenue Variance" numFmtId="42">
      <sharedItems containsSemiMixedTypes="0" containsString="0" containsNumber="1" containsInteger="1" minValue="-113500" maxValue="-56000"/>
    </cacheField>
    <cacheField name="Expense Variance" numFmtId="42">
      <sharedItems containsSemiMixedTypes="0" containsString="0" containsNumber="1" containsInteger="1" minValue="-69000" maxValue="-35000"/>
    </cacheField>
    <cacheField name="Profit Margin %" numFmtId="10">
      <sharedItems containsSemiMixedTypes="0" containsString="0" containsNumber="1" minValue="4.6511627906976744E-2" maxValue="0.45588235294117646"/>
    </cacheField>
    <cacheField name="Expense Ratio" numFmtId="10">
      <sharedItems containsSemiMixedTypes="0" containsString="0" containsNumber="1" minValue="0.54411764705882348" maxValue="0.95348837209302328"/>
    </cacheField>
    <cacheField name="Quarter" numFmtId="0">
      <sharedItems/>
    </cacheField>
  </cacheFields>
  <extLst>
    <ext xmlns:x14="http://schemas.microsoft.com/office/spreadsheetml/2009/9/main" uri="{725AE2AE-9491-48be-B2B4-4EB974FC3084}">
      <x14:pivotCacheDefinition pivotCacheId="11977124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
  <r>
    <d v="2024-01-01T00:00:00"/>
    <n v="18000"/>
    <n v="12000"/>
    <x v="0"/>
    <n v="80000"/>
    <n v="50000"/>
    <n v="6000"/>
    <n v="-62000"/>
    <n v="-38000"/>
    <n v="0.33333333333333331"/>
    <n v="0.66666666666666663"/>
    <s v="Q1"/>
  </r>
  <r>
    <d v="2024-01-05T00:00:00"/>
    <n v="22000"/>
    <n v="14000"/>
    <x v="0"/>
    <n v="80000"/>
    <n v="50000"/>
    <n v="8000"/>
    <n v="-58000"/>
    <n v="-36000"/>
    <n v="0.36363636363636365"/>
    <n v="0.63636363636363635"/>
    <s v="Q1"/>
  </r>
  <r>
    <d v="2024-01-12T00:00:00"/>
    <n v="20000"/>
    <n v="13000"/>
    <x v="0"/>
    <n v="80000"/>
    <n v="50000"/>
    <n v="7000"/>
    <n v="-60000"/>
    <n v="-37000"/>
    <n v="0.35"/>
    <n v="0.65"/>
    <s v="Q1"/>
  </r>
  <r>
    <d v="2024-01-20T00:00:00"/>
    <n v="24000"/>
    <n v="15000"/>
    <x v="0"/>
    <n v="80000"/>
    <n v="50000"/>
    <n v="9000"/>
    <n v="-56000"/>
    <n v="-35000"/>
    <n v="0.375"/>
    <n v="0.625"/>
    <s v="Q1"/>
  </r>
  <r>
    <d v="2024-02-02T00:00:00"/>
    <n v="26000"/>
    <n v="16000"/>
    <x v="1"/>
    <n v="100000"/>
    <n v="65000"/>
    <n v="10000"/>
    <n v="-74000"/>
    <n v="-49000"/>
    <n v="0.38461538461538464"/>
    <n v="0.61538461538461542"/>
    <s v="Q1"/>
  </r>
  <r>
    <d v="2024-02-10T00:00:00"/>
    <n v="28000"/>
    <n v="17000"/>
    <x v="1"/>
    <n v="100000"/>
    <n v="65000"/>
    <n v="11000"/>
    <n v="-72000"/>
    <n v="-48000"/>
    <n v="0.39285714285714285"/>
    <n v="0.6071428571428571"/>
    <s v="Q1"/>
  </r>
  <r>
    <d v="2024-02-18T00:00:00"/>
    <n v="25000"/>
    <n v="15500"/>
    <x v="1"/>
    <n v="100000"/>
    <n v="65000"/>
    <n v="9500"/>
    <n v="-75000"/>
    <n v="-49500"/>
    <n v="0.38"/>
    <n v="0.62"/>
    <s v="Q1"/>
  </r>
  <r>
    <d v="2024-02-25T00:00:00"/>
    <n v="30000"/>
    <n v="18000"/>
    <x v="1"/>
    <n v="100000"/>
    <n v="65000"/>
    <n v="12000"/>
    <n v="-70000"/>
    <n v="-47000"/>
    <n v="0.4"/>
    <n v="0.6"/>
    <s v="Q1"/>
  </r>
  <r>
    <d v="2024-03-03T00:00:00"/>
    <n v="27000"/>
    <n v="16500"/>
    <x v="2"/>
    <n v="110000"/>
    <n v="70000"/>
    <n v="10500"/>
    <n v="-83000"/>
    <n v="-53500"/>
    <n v="0.3888888888888889"/>
    <n v="0.61111111111111116"/>
    <s v="Q1"/>
  </r>
  <r>
    <d v="2024-03-12T00:00:00"/>
    <n v="29000"/>
    <n v="17500"/>
    <x v="2"/>
    <n v="110000"/>
    <n v="70000"/>
    <n v="11500"/>
    <n v="-81000"/>
    <n v="-52500"/>
    <n v="0.39655172413793105"/>
    <n v="0.60344827586206895"/>
    <s v="Q1"/>
  </r>
  <r>
    <d v="2024-03-20T00:00:00"/>
    <n v="31000"/>
    <n v="19000"/>
    <x v="2"/>
    <n v="110000"/>
    <n v="70000"/>
    <n v="12000"/>
    <n v="-79000"/>
    <n v="-51000"/>
    <n v="0.38709677419354838"/>
    <n v="0.61290322580645162"/>
    <s v="Q1"/>
  </r>
  <r>
    <d v="2024-03-28T00:00:00"/>
    <n v="32000"/>
    <n v="20000"/>
    <x v="2"/>
    <n v="110000"/>
    <n v="70000"/>
    <n v="12000"/>
    <n v="-78000"/>
    <n v="-50000"/>
    <n v="0.375"/>
    <n v="0.625"/>
    <s v="Q1"/>
  </r>
  <r>
    <d v="2024-04-02T00:00:00"/>
    <n v="28000"/>
    <n v="17000"/>
    <x v="3"/>
    <n v="115000"/>
    <n v="72000"/>
    <n v="11000"/>
    <n v="-87000"/>
    <n v="-55000"/>
    <n v="0.39285714285714285"/>
    <n v="0.6071428571428571"/>
    <s v="Q2"/>
  </r>
  <r>
    <d v="2024-04-10T00:00:00"/>
    <n v="30000"/>
    <n v="18500"/>
    <x v="3"/>
    <n v="115000"/>
    <n v="72000"/>
    <n v="11500"/>
    <n v="-85000"/>
    <n v="-53500"/>
    <n v="0.38333333333333336"/>
    <n v="0.6166666666666667"/>
    <s v="Q2"/>
  </r>
  <r>
    <d v="2024-04-18T00:00:00"/>
    <n v="30000"/>
    <n v="17500"/>
    <x v="3"/>
    <n v="115000"/>
    <n v="72000"/>
    <n v="12500"/>
    <n v="-85000"/>
    <n v="-54500"/>
    <n v="0.41666666666666669"/>
    <n v="0.58333333333333337"/>
    <s v="Q2"/>
  </r>
  <r>
    <d v="2024-04-26T00:00:00"/>
    <n v="30000"/>
    <n v="19000"/>
    <x v="3"/>
    <n v="115000"/>
    <n v="72000"/>
    <n v="11000"/>
    <n v="-85000"/>
    <n v="-53000"/>
    <n v="0.36666666666666664"/>
    <n v="0.6333333333333333"/>
    <s v="Q2"/>
  </r>
  <r>
    <d v="2024-05-03T00:00:00"/>
    <n v="31000"/>
    <n v="18000"/>
    <x v="4"/>
    <n v="120000"/>
    <n v="75000"/>
    <n v="13000"/>
    <n v="-89000"/>
    <n v="-57000"/>
    <n v="0.41935483870967744"/>
    <n v="0.58064516129032262"/>
    <s v="Q2"/>
  </r>
  <r>
    <d v="2024-05-11T00:00:00"/>
    <n v="33000"/>
    <n v="19500"/>
    <x v="4"/>
    <n v="120000"/>
    <n v="75000"/>
    <n v="13500"/>
    <n v="-87000"/>
    <n v="-55500"/>
    <n v="0.40909090909090912"/>
    <n v="0.59090909090909094"/>
    <s v="Q2"/>
  </r>
  <r>
    <d v="2024-05-19T00:00:00"/>
    <n v="33000"/>
    <n v="19500"/>
    <x v="4"/>
    <n v="120000"/>
    <n v="75000"/>
    <n v="13500"/>
    <n v="-87000"/>
    <n v="-55500"/>
    <n v="0.40909090909090912"/>
    <n v="0.59090909090909094"/>
    <s v="Q2"/>
  </r>
  <r>
    <d v="2024-05-27T00:00:00"/>
    <n v="34000"/>
    <n v="20000"/>
    <x v="4"/>
    <n v="120000"/>
    <n v="75000"/>
    <n v="14000"/>
    <n v="-86000"/>
    <n v="-55000"/>
    <n v="0.41176470588235292"/>
    <n v="0.58823529411764708"/>
    <s v="Q2"/>
  </r>
  <r>
    <d v="2024-06-04T00:00:00"/>
    <n v="33000"/>
    <n v="19500"/>
    <x v="5"/>
    <n v="125000"/>
    <n v="78000"/>
    <n v="13500"/>
    <n v="-92000"/>
    <n v="-58500"/>
    <n v="0.40909090909090912"/>
    <n v="0.59090909090909094"/>
    <s v="Q2"/>
  </r>
  <r>
    <d v="2024-06-12T00:00:00"/>
    <n v="35000"/>
    <n v="20500"/>
    <x v="5"/>
    <n v="125000"/>
    <n v="78000"/>
    <n v="14500"/>
    <n v="-90000"/>
    <n v="-57500"/>
    <n v="0.41428571428571431"/>
    <n v="0.58571428571428574"/>
    <s v="Q2"/>
  </r>
  <r>
    <d v="2024-06-20T00:00:00"/>
    <n v="34000"/>
    <n v="20000"/>
    <x v="5"/>
    <n v="125000"/>
    <n v="78000"/>
    <n v="14000"/>
    <n v="-91000"/>
    <n v="-58000"/>
    <n v="0.41176470588235292"/>
    <n v="0.58823529411764708"/>
    <s v="Q2"/>
  </r>
  <r>
    <d v="2024-06-28T00:00:00"/>
    <n v="36000"/>
    <n v="21000"/>
    <x v="5"/>
    <n v="125000"/>
    <n v="78000"/>
    <n v="15000"/>
    <n v="-89000"/>
    <n v="-57000"/>
    <n v="0.41666666666666669"/>
    <n v="0.58333333333333337"/>
    <s v="Q2"/>
  </r>
  <r>
    <d v="2024-07-02T00:00:00"/>
    <n v="30000"/>
    <n v="18000"/>
    <x v="6"/>
    <n v="118000"/>
    <n v="74000"/>
    <n v="12000"/>
    <n v="-88000"/>
    <n v="-56000"/>
    <n v="0.4"/>
    <n v="0.6"/>
    <s v="Q3"/>
  </r>
  <r>
    <d v="2024-07-10T00:00:00"/>
    <n v="31000"/>
    <n v="18500"/>
    <x v="6"/>
    <n v="118000"/>
    <n v="74000"/>
    <n v="12500"/>
    <n v="-87000"/>
    <n v="-55500"/>
    <n v="0.40322580645161288"/>
    <n v="0.59677419354838712"/>
    <s v="Q3"/>
  </r>
  <r>
    <d v="2024-07-18T00:00:00"/>
    <n v="29500"/>
    <n v="17500"/>
    <x v="6"/>
    <n v="118000"/>
    <n v="74000"/>
    <n v="12000"/>
    <n v="-88500"/>
    <n v="-56500"/>
    <n v="0.40677966101694918"/>
    <n v="0.59322033898305082"/>
    <s v="Q3"/>
  </r>
  <r>
    <d v="2024-07-26T00:00:00"/>
    <n v="32000"/>
    <n v="19000"/>
    <x v="6"/>
    <n v="118000"/>
    <n v="74000"/>
    <n v="13000"/>
    <n v="-86000"/>
    <n v="-55000"/>
    <n v="0.40625"/>
    <n v="0.59375"/>
    <s v="Q3"/>
  </r>
  <r>
    <d v="2024-08-03T00:00:00"/>
    <n v="32000"/>
    <n v="19000"/>
    <x v="7"/>
    <n v="122000"/>
    <n v="76000"/>
    <n v="13000"/>
    <n v="-90000"/>
    <n v="-57000"/>
    <n v="0.40625"/>
    <n v="0.59375"/>
    <s v="Q3"/>
  </r>
  <r>
    <d v="2024-08-11T00:00:00"/>
    <n v="33000"/>
    <n v="19500"/>
    <x v="7"/>
    <n v="122000"/>
    <n v="76000"/>
    <n v="13500"/>
    <n v="-89000"/>
    <n v="-56500"/>
    <n v="0.40909090909090912"/>
    <n v="0.59090909090909094"/>
    <s v="Q3"/>
  </r>
  <r>
    <d v="2024-08-19T00:00:00"/>
    <n v="31500"/>
    <n v="18500"/>
    <x v="7"/>
    <n v="122000"/>
    <n v="76000"/>
    <n v="13000"/>
    <n v="-90500"/>
    <n v="-57500"/>
    <n v="0.41269841269841268"/>
    <n v="0.58730158730158732"/>
    <s v="Q3"/>
  </r>
  <r>
    <d v="2024-08-27T00:00:00"/>
    <n v="34000"/>
    <n v="18500"/>
    <x v="7"/>
    <n v="122000"/>
    <n v="76000"/>
    <n v="15500"/>
    <n v="-88000"/>
    <n v="-57500"/>
    <n v="0.45588235294117646"/>
    <n v="0.54411764705882348"/>
    <s v="Q3"/>
  </r>
  <r>
    <d v="2024-09-04T00:00:00"/>
    <n v="34000"/>
    <n v="20000"/>
    <x v="8"/>
    <n v="130000"/>
    <n v="80000"/>
    <n v="14000"/>
    <n v="-96000"/>
    <n v="-60000"/>
    <n v="0.41176470588235292"/>
    <n v="0.58823529411764708"/>
    <s v="Q3"/>
  </r>
  <r>
    <d v="2024-09-12T00:00:00"/>
    <n v="36000"/>
    <n v="21000"/>
    <x v="8"/>
    <n v="130000"/>
    <n v="80000"/>
    <n v="15000"/>
    <n v="-94000"/>
    <n v="-59000"/>
    <n v="0.41666666666666669"/>
    <n v="0.58333333333333337"/>
    <s v="Q3"/>
  </r>
  <r>
    <d v="2024-09-20T00:00:00"/>
    <n v="35000"/>
    <n v="20500"/>
    <x v="8"/>
    <n v="130000"/>
    <n v="80000"/>
    <n v="14500"/>
    <n v="-95000"/>
    <n v="-59500"/>
    <n v="0.41428571428571431"/>
    <n v="0.58571428571428574"/>
    <s v="Q3"/>
  </r>
  <r>
    <d v="2024-09-28T00:00:00"/>
    <n v="37000"/>
    <n v="21500"/>
    <x v="8"/>
    <n v="130000"/>
    <n v="80000"/>
    <n v="15500"/>
    <n v="-93000"/>
    <n v="-58500"/>
    <n v="0.41891891891891891"/>
    <n v="0.58108108108108103"/>
    <s v="Q3"/>
  </r>
  <r>
    <d v="2024-10-03T00:00:00"/>
    <n v="21500"/>
    <n v="20500"/>
    <x v="9"/>
    <n v="135000"/>
    <n v="83000"/>
    <n v="1000"/>
    <n v="-113500"/>
    <n v="-62500"/>
    <n v="4.6511627906976744E-2"/>
    <n v="0.95348837209302328"/>
    <s v="Q4"/>
  </r>
  <r>
    <d v="2024-10-11T00:00:00"/>
    <n v="37000"/>
    <n v="21500"/>
    <x v="9"/>
    <n v="135000"/>
    <n v="83000"/>
    <n v="15500"/>
    <n v="-98000"/>
    <n v="-61500"/>
    <n v="0.41891891891891891"/>
    <n v="0.58108108108108103"/>
    <s v="Q4"/>
  </r>
  <r>
    <d v="2024-10-19T00:00:00"/>
    <n v="36000"/>
    <n v="21000"/>
    <x v="9"/>
    <n v="135000"/>
    <n v="83000"/>
    <n v="15000"/>
    <n v="-99000"/>
    <n v="-62000"/>
    <n v="0.41666666666666669"/>
    <n v="0.58333333333333337"/>
    <s v="Q4"/>
  </r>
  <r>
    <d v="2024-10-27T00:00:00"/>
    <n v="38000"/>
    <n v="22000"/>
    <x v="9"/>
    <n v="135000"/>
    <n v="83000"/>
    <n v="16000"/>
    <n v="-97000"/>
    <n v="-61000"/>
    <n v="0.42105263157894735"/>
    <n v="0.57894736842105265"/>
    <s v="Q4"/>
  </r>
  <r>
    <d v="2024-11-04T00:00:00"/>
    <n v="37000"/>
    <n v="21500"/>
    <x v="10"/>
    <n v="140000"/>
    <n v="87000"/>
    <n v="15500"/>
    <n v="-103000"/>
    <n v="-65500"/>
    <n v="0.41891891891891891"/>
    <n v="0.58108108108108103"/>
    <s v="Q4"/>
  </r>
  <r>
    <d v="2024-11-12T00:00:00"/>
    <n v="39000"/>
    <n v="22500"/>
    <x v="10"/>
    <n v="140000"/>
    <n v="87000"/>
    <n v="16500"/>
    <n v="-101000"/>
    <n v="-64500"/>
    <n v="0.42307692307692307"/>
    <n v="0.57692307692307687"/>
    <s v="Q4"/>
  </r>
  <r>
    <d v="2024-11-20T00:00:00"/>
    <n v="38000"/>
    <n v="22000"/>
    <x v="10"/>
    <n v="140000"/>
    <n v="87000"/>
    <n v="16000"/>
    <n v="-102000"/>
    <n v="-65000"/>
    <n v="0.42105263157894735"/>
    <n v="0.57894736842105265"/>
    <s v="Q4"/>
  </r>
  <r>
    <d v="2024-11-28T00:00:00"/>
    <n v="38000"/>
    <n v="23000"/>
    <x v="10"/>
    <n v="140000"/>
    <n v="87000"/>
    <n v="15000"/>
    <n v="-102000"/>
    <n v="-64000"/>
    <n v="0.39473684210526316"/>
    <n v="0.60526315789473684"/>
    <s v="Q4"/>
  </r>
  <r>
    <d v="2024-12-04T00:00:00"/>
    <n v="40000"/>
    <n v="23000"/>
    <x v="11"/>
    <n v="140000"/>
    <n v="92000"/>
    <n v="17000"/>
    <n v="-100000"/>
    <n v="-69000"/>
    <n v="0.42499999999999999"/>
    <n v="0.57499999999999996"/>
    <s v="Q4"/>
  </r>
  <r>
    <d v="2024-12-12T00:00:00"/>
    <n v="42000"/>
    <n v="24000"/>
    <x v="11"/>
    <n v="140000"/>
    <n v="92000"/>
    <n v="18000"/>
    <n v="-98000"/>
    <n v="-68000"/>
    <n v="0.42857142857142855"/>
    <n v="0.5714285714285714"/>
    <s v="Q4"/>
  </r>
  <r>
    <d v="2024-12-20T00:00:00"/>
    <n v="42000"/>
    <n v="23500"/>
    <x v="11"/>
    <n v="140000"/>
    <n v="92000"/>
    <n v="18500"/>
    <n v="-98000"/>
    <n v="-68500"/>
    <n v="0.44047619047619047"/>
    <n v="0.55952380952380953"/>
    <s v="Q4"/>
  </r>
  <r>
    <d v="2024-12-28T00:00:00"/>
    <n v="43000"/>
    <n v="25000"/>
    <x v="11"/>
    <n v="140000"/>
    <n v="92000"/>
    <n v="18000"/>
    <n v="-97000"/>
    <n v="-67000"/>
    <n v="0.41860465116279072"/>
    <n v="0.58139534883720934"/>
    <s v="Q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E13D05-148C-42FE-8FEB-116579C6587A}" name="PivotTable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C16" firstHeaderRow="0" firstDataRow="1" firstDataCol="1"/>
  <pivotFields count="12">
    <pivotField numFmtId="15" showAll="0"/>
    <pivotField dataField="1" showAll="0"/>
    <pivotField dataField="1" showAll="0"/>
    <pivotField axis="axisRow" showAll="0">
      <items count="13">
        <item x="0"/>
        <item x="1"/>
        <item x="2"/>
        <item x="3"/>
        <item x="4"/>
        <item x="5"/>
        <item x="6"/>
        <item x="7"/>
        <item x="8"/>
        <item x="9"/>
        <item x="10"/>
        <item x="11"/>
        <item t="default"/>
      </items>
    </pivotField>
    <pivotField showAll="0"/>
    <pivotField showAll="0"/>
    <pivotField showAll="0"/>
    <pivotField showAll="0"/>
    <pivotField showAll="0"/>
    <pivotField numFmtId="9" showAll="0"/>
    <pivotField numFmtId="9" showAll="0"/>
    <pivotField showAll="0"/>
  </pivotFields>
  <rowFields count="1">
    <field x="3"/>
  </rowFields>
  <rowItems count="13">
    <i>
      <x/>
    </i>
    <i>
      <x v="1"/>
    </i>
    <i>
      <x v="2"/>
    </i>
    <i>
      <x v="3"/>
    </i>
    <i>
      <x v="4"/>
    </i>
    <i>
      <x v="5"/>
    </i>
    <i>
      <x v="6"/>
    </i>
    <i>
      <x v="7"/>
    </i>
    <i>
      <x v="8"/>
    </i>
    <i>
      <x v="9"/>
    </i>
    <i>
      <x v="10"/>
    </i>
    <i>
      <x v="11"/>
    </i>
    <i t="grand">
      <x/>
    </i>
  </rowItems>
  <colFields count="1">
    <field x="-2"/>
  </colFields>
  <colItems count="2">
    <i>
      <x/>
    </i>
    <i i="1">
      <x v="1"/>
    </i>
  </colItems>
  <dataFields count="2">
    <dataField name="Revenue " fld="1" baseField="3" baseItem="11"/>
    <dataField name="Expenses " fld="2" baseField="0" baseItem="0"/>
  </dataFields>
  <formats count="1">
    <format dxfId="2">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48C0BA-2673-404D-A822-3826BDF7D310}"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16" firstHeaderRow="1" firstDataRow="1" firstDataCol="1"/>
  <pivotFields count="12">
    <pivotField numFmtId="15" showAll="0"/>
    <pivotField showAll="0"/>
    <pivotField showAll="0"/>
    <pivotField axis="axisRow" showAll="0">
      <items count="13">
        <item x="0"/>
        <item x="1"/>
        <item x="2"/>
        <item x="3"/>
        <item x="4"/>
        <item x="5"/>
        <item x="6"/>
        <item x="7"/>
        <item x="8"/>
        <item x="9"/>
        <item x="10"/>
        <item x="11"/>
        <item t="default"/>
      </items>
    </pivotField>
    <pivotField showAll="0"/>
    <pivotField showAll="0"/>
    <pivotField dataField="1" showAll="0"/>
    <pivotField showAll="0"/>
    <pivotField showAll="0"/>
    <pivotField numFmtId="9" showAll="0"/>
    <pivotField numFmtId="9" showAll="0"/>
    <pivotField showAll="0"/>
  </pivotFields>
  <rowFields count="1">
    <field x="3"/>
  </rowFields>
  <rowItems count="13">
    <i>
      <x/>
    </i>
    <i>
      <x v="1"/>
    </i>
    <i>
      <x v="2"/>
    </i>
    <i>
      <x v="3"/>
    </i>
    <i>
      <x v="4"/>
    </i>
    <i>
      <x v="5"/>
    </i>
    <i>
      <x v="6"/>
    </i>
    <i>
      <x v="7"/>
    </i>
    <i>
      <x v="8"/>
    </i>
    <i>
      <x v="9"/>
    </i>
    <i>
      <x v="10"/>
    </i>
    <i>
      <x v="11"/>
    </i>
    <i t="grand">
      <x/>
    </i>
  </rowItems>
  <colItems count="1">
    <i/>
  </colItems>
  <dataFields count="1">
    <dataField name="Profit " fld="6" baseField="3" baseItem="0" numFmtId="42"/>
  </dataFields>
  <formats count="1">
    <format dxfId="1">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8E4876-A628-4714-84A6-B547B7C64FE5}" name="PivotTable4" cacheId="12"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A3:E16" firstHeaderRow="0" firstDataRow="1" firstDataCol="1"/>
  <pivotFields count="12">
    <pivotField numFmtId="15" showAll="0"/>
    <pivotField dataField="1" showAll="0"/>
    <pivotField dataField="1" showAll="0"/>
    <pivotField axis="axisRow" showAll="0">
      <items count="13">
        <item x="0"/>
        <item x="1"/>
        <item x="2"/>
        <item x="3"/>
        <item x="4"/>
        <item x="5"/>
        <item x="6"/>
        <item x="7"/>
        <item x="8"/>
        <item x="9"/>
        <item x="10"/>
        <item x="11"/>
        <item t="default"/>
      </items>
    </pivotField>
    <pivotField dataField="1" showAll="0"/>
    <pivotField dataField="1" showAll="0"/>
    <pivotField showAll="0"/>
    <pivotField showAll="0"/>
    <pivotField showAll="0"/>
    <pivotField numFmtId="9" showAll="0"/>
    <pivotField numFmtId="9" showAll="0"/>
    <pivotField showAll="0"/>
  </pivotFields>
  <rowFields count="1">
    <field x="3"/>
  </rowFields>
  <rowItems count="13">
    <i>
      <x/>
    </i>
    <i>
      <x v="1"/>
    </i>
    <i>
      <x v="2"/>
    </i>
    <i>
      <x v="3"/>
    </i>
    <i>
      <x v="4"/>
    </i>
    <i>
      <x v="5"/>
    </i>
    <i>
      <x v="6"/>
    </i>
    <i>
      <x v="7"/>
    </i>
    <i>
      <x v="8"/>
    </i>
    <i>
      <x v="9"/>
    </i>
    <i>
      <x v="10"/>
    </i>
    <i>
      <x v="11"/>
    </i>
    <i t="grand">
      <x/>
    </i>
  </rowItems>
  <colFields count="1">
    <field x="-2"/>
  </colFields>
  <colItems count="4">
    <i>
      <x/>
    </i>
    <i i="1">
      <x v="1"/>
    </i>
    <i i="2">
      <x v="2"/>
    </i>
    <i i="3">
      <x v="3"/>
    </i>
  </colItems>
  <dataFields count="4">
    <dataField name="Sum of Revenue" fld="1" baseField="0" baseItem="0"/>
    <dataField name="Average of Budget Revenue" fld="4" subtotal="average" baseField="3" baseItem="0"/>
    <dataField name="Sum of Expenses" fld="2" baseField="0" baseItem="0"/>
    <dataField name="Average of Budget Expenses" fld="5" subtotal="average" baseField="0" baseItem="0"/>
  </dataFields>
  <formats count="1">
    <format dxfId="0">
      <pivotArea outline="0" collapsedLevelsAreSubtotals="1" fieldPosition="0"/>
    </format>
  </formats>
  <chartFormats count="12">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3"/>
          </reference>
        </references>
      </pivotArea>
    </chartFormat>
    <chartFormat chart="27" format="0"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1"/>
          </reference>
        </references>
      </pivotArea>
    </chartFormat>
    <chartFormat chart="27" format="2" series="1">
      <pivotArea type="data" outline="0" fieldPosition="0">
        <references count="1">
          <reference field="4294967294" count="1" selected="0">
            <x v="2"/>
          </reference>
        </references>
      </pivotArea>
    </chartFormat>
    <chartFormat chart="27" format="3" series="1">
      <pivotArea type="data" outline="0" fieldPosition="0">
        <references count="1">
          <reference field="4294967294" count="1" selected="0">
            <x v="3"/>
          </reference>
        </references>
      </pivotArea>
    </chartFormat>
    <chartFormat chart="33"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1"/>
          </reference>
        </references>
      </pivotArea>
    </chartFormat>
    <chartFormat chart="33" format="2" series="1">
      <pivotArea type="data" outline="0" fieldPosition="0">
        <references count="1">
          <reference field="4294967294" count="1" selected="0">
            <x v="2"/>
          </reference>
        </references>
      </pivotArea>
    </chartFormat>
    <chartFormat chart="3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68812A9-BC31-4104-87CA-C97B0F4E9680}" sourceName="Month">
  <pivotTables>
    <pivotTable tabId="13" name="PivotTable2"/>
    <pivotTable tabId="14" name="PivotTable3"/>
    <pivotTable tabId="16" name="PivotTable4"/>
  </pivotTables>
  <data>
    <tabular pivotCacheId="1197712418">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737DBDFB-00A1-4892-A3CA-8EB50868D464}" cache="Slicer_Month" caption="Month"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D279ED-05C9-493A-93CD-52B04E4C1559}" name="Table1" displayName="Table1" ref="A1:L49" totalsRowShown="0" headerRowDxfId="13">
  <autoFilter ref="A1:L49" xr:uid="{A6D279ED-05C9-493A-93CD-52B04E4C1559}"/>
  <tableColumns count="12">
    <tableColumn id="1" xr3:uid="{7DD32D6A-FDA0-4EB0-804D-9971FE077720}" name="Date" dataDxfId="12"/>
    <tableColumn id="2" xr3:uid="{93B87AB3-E8E6-465F-920B-95D0833ED8FE}" name="Revenue" dataDxfId="11"/>
    <tableColumn id="3" xr3:uid="{858B5089-48AA-4380-AAEA-CDB5A4DAB20C}" name="Expenses" dataDxfId="10"/>
    <tableColumn id="4" xr3:uid="{1DA04F44-B931-402A-9321-B588FE88B54D}" name="Month">
      <calculatedColumnFormula>TEXT(A2,"MMM")</calculatedColumnFormula>
    </tableColumn>
    <tableColumn id="5" xr3:uid="{F26AAF2F-9B53-48C0-AF13-906E606F4BCA}" name="Budget Revenue" dataDxfId="9">
      <calculatedColumnFormula>VLOOKUP(D2,'Budget Data'!$A$2:$C$13,2,0)</calculatedColumnFormula>
    </tableColumn>
    <tableColumn id="6" xr3:uid="{7F8D92E3-FE25-4293-BE03-34C8D28137E9}" name="Budget Expenses" dataDxfId="8">
      <calculatedColumnFormula>VLOOKUP(D2,'Budget Data'!$A$2:$C$13,3,0)</calculatedColumnFormula>
    </tableColumn>
    <tableColumn id="7" xr3:uid="{FDABB915-170E-4A1F-A001-98CB3C5E47D0}" name="Profit" dataDxfId="7">
      <calculatedColumnFormula xml:space="preserve"> B2 - C2</calculatedColumnFormula>
    </tableColumn>
    <tableColumn id="8" xr3:uid="{10FA14E6-20FB-4D0A-8B38-6EEE8417E7E7}" name="Revenue Variance" dataDxfId="6">
      <calculatedColumnFormula xml:space="preserve"> B2 - E2</calculatedColumnFormula>
    </tableColumn>
    <tableColumn id="9" xr3:uid="{70AB51F8-4E81-45FD-A2E7-00A5D1FA12FA}" name="Expense Variance" dataDxfId="5">
      <calculatedColumnFormula xml:space="preserve"> C2 - F2</calculatedColumnFormula>
    </tableColumn>
    <tableColumn id="11" xr3:uid="{3C6082DB-BD66-460A-9CC8-30B4FE9E76D4}" name="Profit Margin %" dataDxfId="4" dataCellStyle="Percent">
      <calculatedColumnFormula>G2/B2</calculatedColumnFormula>
    </tableColumn>
    <tableColumn id="12" xr3:uid="{2774D463-D4DB-4ECA-AC45-D5EE0BFD76A4}" name="Expense Ratio" dataDxfId="3" dataCellStyle="Percent">
      <calculatedColumnFormula>C2/B2</calculatedColumnFormula>
    </tableColumn>
    <tableColumn id="13" xr3:uid="{DC66D549-347D-41E2-8DBE-544F20E54C6D}" name="Quarter">
      <calculatedColumnFormula>IF(D2="Jan","Q1",IF(D2="Feb","Q1",IF(D2="Mar","Q1",IF(D2="Apr","Q2",IF(D2="May","Q2",IF(D2="Jun","Q2",IF(D2="Jul","Q3",IF(D2="Aug","Q3",IF(D2="Sep","Q3","Q4")))))))))</calculatedColumnFormula>
    </tableColumn>
  </tableColumns>
  <tableStyleInfo name="TableStyleLight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A544-4579-4BC3-A92C-44FD37DE0CA5}">
  <sheetPr codeName="Sheet5"/>
  <dimension ref="A1:C13"/>
  <sheetViews>
    <sheetView workbookViewId="0">
      <selection activeCell="E5" sqref="E5"/>
    </sheetView>
  </sheetViews>
  <sheetFormatPr defaultRowHeight="14.4"/>
  <cols>
    <col min="2" max="2" width="10.21875" bestFit="1" customWidth="1"/>
    <col min="3" max="3" width="9" bestFit="1" customWidth="1"/>
  </cols>
  <sheetData>
    <row r="1" spans="1:3" ht="28.8">
      <c r="A1" s="23" t="s">
        <v>1</v>
      </c>
      <c r="B1" s="23" t="s">
        <v>5</v>
      </c>
      <c r="C1" s="23" t="s">
        <v>6</v>
      </c>
    </row>
    <row r="2" spans="1:3">
      <c r="A2" s="24" t="s">
        <v>7</v>
      </c>
      <c r="B2" s="25">
        <v>80000</v>
      </c>
      <c r="C2" s="25">
        <v>50000</v>
      </c>
    </row>
    <row r="3" spans="1:3">
      <c r="A3" s="24" t="s">
        <v>8</v>
      </c>
      <c r="B3" s="25">
        <v>100000</v>
      </c>
      <c r="C3" s="25">
        <v>65000</v>
      </c>
    </row>
    <row r="4" spans="1:3">
      <c r="A4" s="24" t="s">
        <v>9</v>
      </c>
      <c r="B4" s="25">
        <v>110000</v>
      </c>
      <c r="C4" s="25">
        <v>70000</v>
      </c>
    </row>
    <row r="5" spans="1:3">
      <c r="A5" s="24" t="s">
        <v>30</v>
      </c>
      <c r="B5" s="26">
        <v>115000</v>
      </c>
      <c r="C5" s="26">
        <v>72000</v>
      </c>
    </row>
    <row r="6" spans="1:3">
      <c r="A6" s="24" t="s">
        <v>19</v>
      </c>
      <c r="B6" s="26">
        <v>120000</v>
      </c>
      <c r="C6" s="26">
        <v>75000</v>
      </c>
    </row>
    <row r="7" spans="1:3">
      <c r="A7" s="24" t="s">
        <v>20</v>
      </c>
      <c r="B7" s="26">
        <v>125000</v>
      </c>
      <c r="C7" s="26">
        <v>78000</v>
      </c>
    </row>
    <row r="8" spans="1:3">
      <c r="A8" s="24" t="s">
        <v>21</v>
      </c>
      <c r="B8" s="26">
        <v>118000</v>
      </c>
      <c r="C8" s="26">
        <v>74000</v>
      </c>
    </row>
    <row r="9" spans="1:3">
      <c r="A9" s="24" t="s">
        <v>22</v>
      </c>
      <c r="B9" s="26">
        <v>122000</v>
      </c>
      <c r="C9" s="26">
        <v>76000</v>
      </c>
    </row>
    <row r="10" spans="1:3">
      <c r="A10" s="24" t="s">
        <v>23</v>
      </c>
      <c r="B10" s="26">
        <v>130000</v>
      </c>
      <c r="C10" s="26">
        <v>80000</v>
      </c>
    </row>
    <row r="11" spans="1:3">
      <c r="A11" s="24" t="s">
        <v>24</v>
      </c>
      <c r="B11" s="26">
        <v>135000</v>
      </c>
      <c r="C11" s="26">
        <v>83000</v>
      </c>
    </row>
    <row r="12" spans="1:3">
      <c r="A12" s="24" t="s">
        <v>25</v>
      </c>
      <c r="B12" s="26">
        <v>140000</v>
      </c>
      <c r="C12" s="26">
        <v>87000</v>
      </c>
    </row>
    <row r="13" spans="1:3">
      <c r="A13" s="24" t="s">
        <v>26</v>
      </c>
      <c r="B13" s="26">
        <v>140000</v>
      </c>
      <c r="C13" s="26">
        <v>92000</v>
      </c>
    </row>
  </sheetData>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AA5F4-AFF8-4A03-9817-2BB45CB9539C}">
  <sheetPr codeName="Sheet4"/>
  <dimension ref="A1:L49"/>
  <sheetViews>
    <sheetView topLeftCell="B1" zoomScale="85" workbookViewId="0">
      <selection activeCell="D58" sqref="D58"/>
    </sheetView>
  </sheetViews>
  <sheetFormatPr defaultRowHeight="14.4"/>
  <cols>
    <col min="1" max="1" width="12.21875" bestFit="1" customWidth="1"/>
    <col min="2" max="2" width="15.5546875" bestFit="1" customWidth="1"/>
    <col min="3" max="3" width="16.109375" bestFit="1" customWidth="1"/>
    <col min="4" max="4" width="13.6640625" bestFit="1" customWidth="1"/>
    <col min="5" max="5" width="18.88671875" bestFit="1" customWidth="1"/>
    <col min="6" max="6" width="20.77734375" bestFit="1" customWidth="1"/>
    <col min="7" max="7" width="12.77734375" bestFit="1" customWidth="1"/>
    <col min="8" max="8" width="23.77734375" bestFit="1" customWidth="1"/>
    <col min="9" max="9" width="21.6640625" bestFit="1" customWidth="1"/>
    <col min="10" max="10" width="18.21875" bestFit="1" customWidth="1"/>
    <col min="11" max="11" width="16.77734375" bestFit="1" customWidth="1"/>
    <col min="12" max="12" width="11.21875" bestFit="1" customWidth="1"/>
  </cols>
  <sheetData>
    <row r="1" spans="1:12">
      <c r="A1" s="3" t="s">
        <v>0</v>
      </c>
      <c r="B1" s="3" t="s">
        <v>3</v>
      </c>
      <c r="C1" s="3" t="s">
        <v>4</v>
      </c>
      <c r="D1" s="3" t="s">
        <v>1</v>
      </c>
      <c r="E1" s="9" t="s">
        <v>5</v>
      </c>
      <c r="F1" s="6" t="s">
        <v>6</v>
      </c>
      <c r="G1" s="3" t="s">
        <v>10</v>
      </c>
      <c r="H1" s="3" t="s">
        <v>11</v>
      </c>
      <c r="I1" s="3" t="s">
        <v>12</v>
      </c>
      <c r="J1" s="8" t="s">
        <v>27</v>
      </c>
      <c r="K1" s="8" t="s">
        <v>28</v>
      </c>
      <c r="L1" s="8" t="s">
        <v>29</v>
      </c>
    </row>
    <row r="2" spans="1:12">
      <c r="A2" s="4">
        <v>45292</v>
      </c>
      <c r="B2" s="11">
        <v>18000</v>
      </c>
      <c r="C2" s="11">
        <v>12000</v>
      </c>
      <c r="D2" t="str">
        <f>TEXT(A2,"MMM")</f>
        <v>Jan</v>
      </c>
      <c r="E2" s="12">
        <f>VLOOKUP(D2,'Budget Data'!$A$2:$C$13,2,0)</f>
        <v>80000</v>
      </c>
      <c r="F2" s="12">
        <f>VLOOKUP(D2,'Budget Data'!$A$2:$C$13,3,0)</f>
        <v>50000</v>
      </c>
      <c r="G2" s="12">
        <f xml:space="preserve"> B2 - C2</f>
        <v>6000</v>
      </c>
      <c r="H2" s="12">
        <f xml:space="preserve"> B2 - E2</f>
        <v>-62000</v>
      </c>
      <c r="I2" s="12">
        <f xml:space="preserve"> C2 - F2</f>
        <v>-38000</v>
      </c>
      <c r="J2" s="13">
        <f t="shared" ref="J2:J49" si="0">G2/B2</f>
        <v>0.33333333333333331</v>
      </c>
      <c r="K2" s="13">
        <f t="shared" ref="K2:K49" si="1">C2/B2</f>
        <v>0.66666666666666663</v>
      </c>
      <c r="L2" t="str">
        <f>IF(D2="Jan","Q1",IF(D2="Feb","Q1",IF(D2="Mar","Q1",IF(D2="Apr","Q2",IF(D2="May","Q2",IF(D2="Jun","Q2",IF(D2="Jul","Q3",IF(D2="Aug","Q3",IF(D2="Sep","Q3","Q4")))))))))</f>
        <v>Q1</v>
      </c>
    </row>
    <row r="3" spans="1:12">
      <c r="A3" s="4">
        <v>45296</v>
      </c>
      <c r="B3" s="11">
        <v>22000</v>
      </c>
      <c r="C3" s="11">
        <v>14000</v>
      </c>
      <c r="D3" t="str">
        <f t="shared" ref="D3:D49" si="2">TEXT(A3,"MMM")</f>
        <v>Jan</v>
      </c>
      <c r="E3" s="12">
        <f>VLOOKUP(D3,'Budget Data'!$A$2:$C$13,2,0)</f>
        <v>80000</v>
      </c>
      <c r="F3" s="12">
        <f>VLOOKUP(D3,'Budget Data'!$A$2:$C$13,3,0)</f>
        <v>50000</v>
      </c>
      <c r="G3" s="12">
        <f t="shared" ref="G3:G49" si="3" xml:space="preserve"> B3 - C3</f>
        <v>8000</v>
      </c>
      <c r="H3" s="12">
        <f t="shared" ref="H3:H49" si="4" xml:space="preserve"> B3 - E3</f>
        <v>-58000</v>
      </c>
      <c r="I3" s="12">
        <f t="shared" ref="I3:I49" si="5" xml:space="preserve"> C3 - F3</f>
        <v>-36000</v>
      </c>
      <c r="J3" s="13">
        <f t="shared" si="0"/>
        <v>0.36363636363636365</v>
      </c>
      <c r="K3" s="13">
        <f t="shared" si="1"/>
        <v>0.63636363636363635</v>
      </c>
      <c r="L3" t="str">
        <f t="shared" ref="L3:L49" si="6">IF(D3="Jan","Q1",IF(D3="Feb","Q1",IF(D3="Mar","Q1",IF(D3="Apr","Q2",IF(D3="May","Q2",IF(D3="Jun","Q2",IF(D3="Jul","Q3",IF(D3="Aug","Q3",IF(D3="Sep","Q3","Q4")))))))))</f>
        <v>Q1</v>
      </c>
    </row>
    <row r="4" spans="1:12">
      <c r="A4" s="4">
        <v>45303</v>
      </c>
      <c r="B4" s="11">
        <v>20000</v>
      </c>
      <c r="C4" s="11">
        <v>13000</v>
      </c>
      <c r="D4" t="str">
        <f t="shared" si="2"/>
        <v>Jan</v>
      </c>
      <c r="E4" s="12">
        <f>VLOOKUP(D4,'Budget Data'!$A$2:$C$13,2,0)</f>
        <v>80000</v>
      </c>
      <c r="F4" s="12">
        <f>VLOOKUP(D4,'Budget Data'!$A$2:$C$13,3,0)</f>
        <v>50000</v>
      </c>
      <c r="G4" s="12">
        <f t="shared" si="3"/>
        <v>7000</v>
      </c>
      <c r="H4" s="12">
        <f t="shared" si="4"/>
        <v>-60000</v>
      </c>
      <c r="I4" s="12">
        <f t="shared" si="5"/>
        <v>-37000</v>
      </c>
      <c r="J4" s="13">
        <f t="shared" si="0"/>
        <v>0.35</v>
      </c>
      <c r="K4" s="13">
        <f t="shared" si="1"/>
        <v>0.65</v>
      </c>
      <c r="L4" t="str">
        <f t="shared" si="6"/>
        <v>Q1</v>
      </c>
    </row>
    <row r="5" spans="1:12">
      <c r="A5" s="4">
        <v>45311</v>
      </c>
      <c r="B5" s="11">
        <v>24000</v>
      </c>
      <c r="C5" s="11">
        <v>15000</v>
      </c>
      <c r="D5" t="str">
        <f t="shared" si="2"/>
        <v>Jan</v>
      </c>
      <c r="E5" s="12">
        <f>VLOOKUP(D5,'Budget Data'!$A$2:$C$13,2,0)</f>
        <v>80000</v>
      </c>
      <c r="F5" s="12">
        <f>VLOOKUP(D5,'Budget Data'!$A$2:$C$13,3,0)</f>
        <v>50000</v>
      </c>
      <c r="G5" s="12">
        <f t="shared" si="3"/>
        <v>9000</v>
      </c>
      <c r="H5" s="12">
        <f t="shared" si="4"/>
        <v>-56000</v>
      </c>
      <c r="I5" s="12">
        <f t="shared" si="5"/>
        <v>-35000</v>
      </c>
      <c r="J5" s="13">
        <f t="shared" si="0"/>
        <v>0.375</v>
      </c>
      <c r="K5" s="13">
        <f t="shared" si="1"/>
        <v>0.625</v>
      </c>
      <c r="L5" t="str">
        <f t="shared" si="6"/>
        <v>Q1</v>
      </c>
    </row>
    <row r="6" spans="1:12">
      <c r="A6" s="4">
        <v>45324</v>
      </c>
      <c r="B6" s="11">
        <v>26000</v>
      </c>
      <c r="C6" s="11">
        <v>16000</v>
      </c>
      <c r="D6" t="str">
        <f t="shared" si="2"/>
        <v>Feb</v>
      </c>
      <c r="E6" s="12">
        <f>VLOOKUP(D6,'Budget Data'!$A$2:$C$13,2,0)</f>
        <v>100000</v>
      </c>
      <c r="F6" s="12">
        <f>VLOOKUP(D6,'Budget Data'!$A$2:$C$13,3,0)</f>
        <v>65000</v>
      </c>
      <c r="G6" s="12">
        <f t="shared" si="3"/>
        <v>10000</v>
      </c>
      <c r="H6" s="12">
        <f t="shared" si="4"/>
        <v>-74000</v>
      </c>
      <c r="I6" s="12">
        <f t="shared" si="5"/>
        <v>-49000</v>
      </c>
      <c r="J6" s="13">
        <f t="shared" si="0"/>
        <v>0.38461538461538464</v>
      </c>
      <c r="K6" s="13">
        <f t="shared" si="1"/>
        <v>0.61538461538461542</v>
      </c>
      <c r="L6" t="str">
        <f t="shared" si="6"/>
        <v>Q1</v>
      </c>
    </row>
    <row r="7" spans="1:12">
      <c r="A7" s="4">
        <v>45332</v>
      </c>
      <c r="B7" s="11">
        <v>28000</v>
      </c>
      <c r="C7" s="11">
        <v>17000</v>
      </c>
      <c r="D7" t="str">
        <f t="shared" si="2"/>
        <v>Feb</v>
      </c>
      <c r="E7" s="12">
        <f>VLOOKUP(D7,'Budget Data'!$A$2:$C$13,2,0)</f>
        <v>100000</v>
      </c>
      <c r="F7" s="12">
        <f>VLOOKUP(D7,'Budget Data'!$A$2:$C$13,3,0)</f>
        <v>65000</v>
      </c>
      <c r="G7" s="12">
        <f t="shared" si="3"/>
        <v>11000</v>
      </c>
      <c r="H7" s="12">
        <f t="shared" si="4"/>
        <v>-72000</v>
      </c>
      <c r="I7" s="12">
        <f t="shared" si="5"/>
        <v>-48000</v>
      </c>
      <c r="J7" s="13">
        <f t="shared" si="0"/>
        <v>0.39285714285714285</v>
      </c>
      <c r="K7" s="13">
        <f t="shared" si="1"/>
        <v>0.6071428571428571</v>
      </c>
      <c r="L7" t="str">
        <f t="shared" si="6"/>
        <v>Q1</v>
      </c>
    </row>
    <row r="8" spans="1:12">
      <c r="A8" s="4">
        <v>45340</v>
      </c>
      <c r="B8" s="11">
        <v>25000</v>
      </c>
      <c r="C8" s="11">
        <v>15500</v>
      </c>
      <c r="D8" t="str">
        <f t="shared" si="2"/>
        <v>Feb</v>
      </c>
      <c r="E8" s="12">
        <f>VLOOKUP(D8,'Budget Data'!$A$2:$C$13,2,0)</f>
        <v>100000</v>
      </c>
      <c r="F8" s="12">
        <f>VLOOKUP(D8,'Budget Data'!$A$2:$C$13,3,0)</f>
        <v>65000</v>
      </c>
      <c r="G8" s="12">
        <f t="shared" si="3"/>
        <v>9500</v>
      </c>
      <c r="H8" s="12">
        <f t="shared" si="4"/>
        <v>-75000</v>
      </c>
      <c r="I8" s="12">
        <f t="shared" si="5"/>
        <v>-49500</v>
      </c>
      <c r="J8" s="13">
        <f t="shared" si="0"/>
        <v>0.38</v>
      </c>
      <c r="K8" s="13">
        <f t="shared" si="1"/>
        <v>0.62</v>
      </c>
      <c r="L8" t="str">
        <f t="shared" si="6"/>
        <v>Q1</v>
      </c>
    </row>
    <row r="9" spans="1:12">
      <c r="A9" s="4">
        <v>45347</v>
      </c>
      <c r="B9" s="11">
        <v>30000</v>
      </c>
      <c r="C9" s="11">
        <v>18000</v>
      </c>
      <c r="D9" t="str">
        <f t="shared" si="2"/>
        <v>Feb</v>
      </c>
      <c r="E9" s="12">
        <f>VLOOKUP(D9,'Budget Data'!$A$2:$C$13,2,0)</f>
        <v>100000</v>
      </c>
      <c r="F9" s="12">
        <f>VLOOKUP(D9,'Budget Data'!$A$2:$C$13,3,0)</f>
        <v>65000</v>
      </c>
      <c r="G9" s="12">
        <f t="shared" si="3"/>
        <v>12000</v>
      </c>
      <c r="H9" s="12">
        <f t="shared" si="4"/>
        <v>-70000</v>
      </c>
      <c r="I9" s="12">
        <f t="shared" si="5"/>
        <v>-47000</v>
      </c>
      <c r="J9" s="13">
        <f t="shared" si="0"/>
        <v>0.4</v>
      </c>
      <c r="K9" s="13">
        <f t="shared" si="1"/>
        <v>0.6</v>
      </c>
      <c r="L9" t="str">
        <f t="shared" si="6"/>
        <v>Q1</v>
      </c>
    </row>
    <row r="10" spans="1:12">
      <c r="A10" s="4">
        <v>45354</v>
      </c>
      <c r="B10" s="11">
        <v>27000</v>
      </c>
      <c r="C10" s="11">
        <v>16500</v>
      </c>
      <c r="D10" t="str">
        <f t="shared" si="2"/>
        <v>Mar</v>
      </c>
      <c r="E10" s="12">
        <f>VLOOKUP(D10,'Budget Data'!$A$2:$C$13,2,0)</f>
        <v>110000</v>
      </c>
      <c r="F10" s="12">
        <f>VLOOKUP(D10,'Budget Data'!$A$2:$C$13,3,0)</f>
        <v>70000</v>
      </c>
      <c r="G10" s="12">
        <f t="shared" si="3"/>
        <v>10500</v>
      </c>
      <c r="H10" s="12">
        <f t="shared" si="4"/>
        <v>-83000</v>
      </c>
      <c r="I10" s="12">
        <f t="shared" si="5"/>
        <v>-53500</v>
      </c>
      <c r="J10" s="13">
        <f t="shared" si="0"/>
        <v>0.3888888888888889</v>
      </c>
      <c r="K10" s="13">
        <f t="shared" si="1"/>
        <v>0.61111111111111116</v>
      </c>
      <c r="L10" t="str">
        <f t="shared" si="6"/>
        <v>Q1</v>
      </c>
    </row>
    <row r="11" spans="1:12">
      <c r="A11" s="4">
        <v>45363</v>
      </c>
      <c r="B11" s="11">
        <v>29000</v>
      </c>
      <c r="C11" s="11">
        <v>17500</v>
      </c>
      <c r="D11" t="str">
        <f t="shared" si="2"/>
        <v>Mar</v>
      </c>
      <c r="E11" s="12">
        <f>VLOOKUP(D11,'Budget Data'!$A$2:$C$13,2,0)</f>
        <v>110000</v>
      </c>
      <c r="F11" s="12">
        <f>VLOOKUP(D11,'Budget Data'!$A$2:$C$13,3,0)</f>
        <v>70000</v>
      </c>
      <c r="G11" s="12">
        <f t="shared" si="3"/>
        <v>11500</v>
      </c>
      <c r="H11" s="12">
        <f t="shared" si="4"/>
        <v>-81000</v>
      </c>
      <c r="I11" s="12">
        <f t="shared" si="5"/>
        <v>-52500</v>
      </c>
      <c r="J11" s="13">
        <f t="shared" si="0"/>
        <v>0.39655172413793105</v>
      </c>
      <c r="K11" s="13">
        <f t="shared" si="1"/>
        <v>0.60344827586206895</v>
      </c>
      <c r="L11" t="str">
        <f t="shared" si="6"/>
        <v>Q1</v>
      </c>
    </row>
    <row r="12" spans="1:12">
      <c r="A12" s="4">
        <v>45371</v>
      </c>
      <c r="B12" s="11">
        <v>31000</v>
      </c>
      <c r="C12" s="11">
        <v>19000</v>
      </c>
      <c r="D12" t="str">
        <f t="shared" si="2"/>
        <v>Mar</v>
      </c>
      <c r="E12" s="12">
        <f>VLOOKUP(D12,'Budget Data'!$A$2:$C$13,2,0)</f>
        <v>110000</v>
      </c>
      <c r="F12" s="12">
        <f>VLOOKUP(D12,'Budget Data'!$A$2:$C$13,3,0)</f>
        <v>70000</v>
      </c>
      <c r="G12" s="12">
        <f t="shared" si="3"/>
        <v>12000</v>
      </c>
      <c r="H12" s="12">
        <f t="shared" si="4"/>
        <v>-79000</v>
      </c>
      <c r="I12" s="12">
        <f t="shared" si="5"/>
        <v>-51000</v>
      </c>
      <c r="J12" s="13">
        <f t="shared" si="0"/>
        <v>0.38709677419354838</v>
      </c>
      <c r="K12" s="13">
        <f t="shared" si="1"/>
        <v>0.61290322580645162</v>
      </c>
      <c r="L12" t="str">
        <f t="shared" si="6"/>
        <v>Q1</v>
      </c>
    </row>
    <row r="13" spans="1:12">
      <c r="A13" s="4">
        <v>45379</v>
      </c>
      <c r="B13" s="11">
        <v>32000</v>
      </c>
      <c r="C13" s="11">
        <v>20000</v>
      </c>
      <c r="D13" t="str">
        <f t="shared" si="2"/>
        <v>Mar</v>
      </c>
      <c r="E13" s="12">
        <f>VLOOKUP(D13,'Budget Data'!$A$2:$C$13,2,0)</f>
        <v>110000</v>
      </c>
      <c r="F13" s="12">
        <f>VLOOKUP(D13,'Budget Data'!$A$2:$C$13,3,0)</f>
        <v>70000</v>
      </c>
      <c r="G13" s="12">
        <f t="shared" si="3"/>
        <v>12000</v>
      </c>
      <c r="H13" s="12">
        <f t="shared" si="4"/>
        <v>-78000</v>
      </c>
      <c r="I13" s="12">
        <f t="shared" si="5"/>
        <v>-50000</v>
      </c>
      <c r="J13" s="13">
        <f t="shared" si="0"/>
        <v>0.375</v>
      </c>
      <c r="K13" s="13">
        <f t="shared" si="1"/>
        <v>0.625</v>
      </c>
      <c r="L13" t="str">
        <f t="shared" si="6"/>
        <v>Q1</v>
      </c>
    </row>
    <row r="14" spans="1:12">
      <c r="A14" s="4">
        <v>45384</v>
      </c>
      <c r="B14" s="12">
        <v>28000</v>
      </c>
      <c r="C14" s="12">
        <v>17000</v>
      </c>
      <c r="D14" t="str">
        <f t="shared" si="2"/>
        <v>Apr</v>
      </c>
      <c r="E14" s="12">
        <f>VLOOKUP(D14,'Budget Data'!$A$2:$C$13,2,0)</f>
        <v>115000</v>
      </c>
      <c r="F14" s="12">
        <f>VLOOKUP(D14,'Budget Data'!$A$2:$C$13,3,0)</f>
        <v>72000</v>
      </c>
      <c r="G14" s="12">
        <f t="shared" si="3"/>
        <v>11000</v>
      </c>
      <c r="H14" s="12">
        <f t="shared" si="4"/>
        <v>-87000</v>
      </c>
      <c r="I14" s="12">
        <f t="shared" si="5"/>
        <v>-55000</v>
      </c>
      <c r="J14" s="13">
        <f t="shared" si="0"/>
        <v>0.39285714285714285</v>
      </c>
      <c r="K14" s="13">
        <f t="shared" si="1"/>
        <v>0.6071428571428571</v>
      </c>
      <c r="L14" t="str">
        <f t="shared" si="6"/>
        <v>Q2</v>
      </c>
    </row>
    <row r="15" spans="1:12">
      <c r="A15" s="7">
        <v>45392</v>
      </c>
      <c r="B15" s="12">
        <v>30000</v>
      </c>
      <c r="C15" s="12">
        <v>18500</v>
      </c>
      <c r="D15" t="str">
        <f t="shared" si="2"/>
        <v>Apr</v>
      </c>
      <c r="E15" s="12">
        <f>VLOOKUP(D15,'Budget Data'!$A$2:$C$13,2,0)</f>
        <v>115000</v>
      </c>
      <c r="F15" s="12">
        <f>VLOOKUP(D15,'Budget Data'!$A$2:$C$13,3,0)</f>
        <v>72000</v>
      </c>
      <c r="G15" s="12">
        <f t="shared" si="3"/>
        <v>11500</v>
      </c>
      <c r="H15" s="12">
        <f t="shared" si="4"/>
        <v>-85000</v>
      </c>
      <c r="I15" s="12">
        <f t="shared" si="5"/>
        <v>-53500</v>
      </c>
      <c r="J15" s="13">
        <f t="shared" si="0"/>
        <v>0.38333333333333336</v>
      </c>
      <c r="K15" s="13">
        <f t="shared" si="1"/>
        <v>0.6166666666666667</v>
      </c>
      <c r="L15" t="str">
        <f t="shared" si="6"/>
        <v>Q2</v>
      </c>
    </row>
    <row r="16" spans="1:12">
      <c r="A16" s="7">
        <v>45400</v>
      </c>
      <c r="B16" s="12">
        <v>30000</v>
      </c>
      <c r="C16" s="12">
        <v>17500</v>
      </c>
      <c r="D16" t="str">
        <f t="shared" si="2"/>
        <v>Apr</v>
      </c>
      <c r="E16" s="12">
        <f>VLOOKUP(D16,'Budget Data'!$A$2:$C$13,2,0)</f>
        <v>115000</v>
      </c>
      <c r="F16" s="12">
        <f>VLOOKUP(D16,'Budget Data'!$A$2:$C$13,3,0)</f>
        <v>72000</v>
      </c>
      <c r="G16" s="12">
        <f t="shared" si="3"/>
        <v>12500</v>
      </c>
      <c r="H16" s="12">
        <f t="shared" si="4"/>
        <v>-85000</v>
      </c>
      <c r="I16" s="12">
        <f t="shared" si="5"/>
        <v>-54500</v>
      </c>
      <c r="J16" s="13">
        <f t="shared" si="0"/>
        <v>0.41666666666666669</v>
      </c>
      <c r="K16" s="13">
        <f t="shared" si="1"/>
        <v>0.58333333333333337</v>
      </c>
      <c r="L16" t="str">
        <f t="shared" si="6"/>
        <v>Q2</v>
      </c>
    </row>
    <row r="17" spans="1:12">
      <c r="A17" s="7">
        <v>45408</v>
      </c>
      <c r="B17" s="12">
        <v>30000</v>
      </c>
      <c r="C17" s="12">
        <v>19000</v>
      </c>
      <c r="D17" t="str">
        <f t="shared" si="2"/>
        <v>Apr</v>
      </c>
      <c r="E17" s="12">
        <f>VLOOKUP(D17,'Budget Data'!$A$2:$C$13,2,0)</f>
        <v>115000</v>
      </c>
      <c r="F17" s="12">
        <f>VLOOKUP(D17,'Budget Data'!$A$2:$C$13,3,0)</f>
        <v>72000</v>
      </c>
      <c r="G17" s="12">
        <f t="shared" si="3"/>
        <v>11000</v>
      </c>
      <c r="H17" s="12">
        <f t="shared" si="4"/>
        <v>-85000</v>
      </c>
      <c r="I17" s="12">
        <f t="shared" si="5"/>
        <v>-53000</v>
      </c>
      <c r="J17" s="13">
        <f t="shared" si="0"/>
        <v>0.36666666666666664</v>
      </c>
      <c r="K17" s="13">
        <f t="shared" si="1"/>
        <v>0.6333333333333333</v>
      </c>
      <c r="L17" t="str">
        <f t="shared" si="6"/>
        <v>Q2</v>
      </c>
    </row>
    <row r="18" spans="1:12">
      <c r="A18" s="7">
        <v>45415</v>
      </c>
      <c r="B18" s="12">
        <v>31000</v>
      </c>
      <c r="C18" s="12">
        <v>18000</v>
      </c>
      <c r="D18" t="str">
        <f t="shared" si="2"/>
        <v>May</v>
      </c>
      <c r="E18" s="12">
        <f>VLOOKUP(D18,'Budget Data'!$A$2:$C$13,2,0)</f>
        <v>120000</v>
      </c>
      <c r="F18" s="12">
        <f>VLOOKUP(D18,'Budget Data'!$A$2:$C$13,3,0)</f>
        <v>75000</v>
      </c>
      <c r="G18" s="12">
        <f t="shared" si="3"/>
        <v>13000</v>
      </c>
      <c r="H18" s="12">
        <f t="shared" si="4"/>
        <v>-89000</v>
      </c>
      <c r="I18" s="12">
        <f t="shared" si="5"/>
        <v>-57000</v>
      </c>
      <c r="J18" s="13">
        <f t="shared" si="0"/>
        <v>0.41935483870967744</v>
      </c>
      <c r="K18" s="13">
        <f t="shared" si="1"/>
        <v>0.58064516129032262</v>
      </c>
      <c r="L18" t="str">
        <f t="shared" si="6"/>
        <v>Q2</v>
      </c>
    </row>
    <row r="19" spans="1:12">
      <c r="A19" s="7">
        <v>45423</v>
      </c>
      <c r="B19" s="12">
        <v>33000</v>
      </c>
      <c r="C19" s="12">
        <v>19500</v>
      </c>
      <c r="D19" t="str">
        <f t="shared" si="2"/>
        <v>May</v>
      </c>
      <c r="E19" s="12">
        <f>VLOOKUP(D19,'Budget Data'!$A$2:$C$13,2,0)</f>
        <v>120000</v>
      </c>
      <c r="F19" s="12">
        <f>VLOOKUP(D19,'Budget Data'!$A$2:$C$13,3,0)</f>
        <v>75000</v>
      </c>
      <c r="G19" s="12">
        <f t="shared" si="3"/>
        <v>13500</v>
      </c>
      <c r="H19" s="12">
        <f t="shared" si="4"/>
        <v>-87000</v>
      </c>
      <c r="I19" s="12">
        <f t="shared" si="5"/>
        <v>-55500</v>
      </c>
      <c r="J19" s="13">
        <f t="shared" si="0"/>
        <v>0.40909090909090912</v>
      </c>
      <c r="K19" s="13">
        <f t="shared" si="1"/>
        <v>0.59090909090909094</v>
      </c>
      <c r="L19" t="str">
        <f t="shared" si="6"/>
        <v>Q2</v>
      </c>
    </row>
    <row r="20" spans="1:12">
      <c r="A20" s="7">
        <v>45431</v>
      </c>
      <c r="B20" s="12">
        <v>33000</v>
      </c>
      <c r="C20" s="12">
        <v>19500</v>
      </c>
      <c r="D20" t="str">
        <f t="shared" si="2"/>
        <v>May</v>
      </c>
      <c r="E20" s="12">
        <f>VLOOKUP(D20,'Budget Data'!$A$2:$C$13,2,0)</f>
        <v>120000</v>
      </c>
      <c r="F20" s="12">
        <f>VLOOKUP(D20,'Budget Data'!$A$2:$C$13,3,0)</f>
        <v>75000</v>
      </c>
      <c r="G20" s="12">
        <f t="shared" si="3"/>
        <v>13500</v>
      </c>
      <c r="H20" s="12">
        <f t="shared" si="4"/>
        <v>-87000</v>
      </c>
      <c r="I20" s="12">
        <f t="shared" si="5"/>
        <v>-55500</v>
      </c>
      <c r="J20" s="13">
        <f t="shared" si="0"/>
        <v>0.40909090909090912</v>
      </c>
      <c r="K20" s="13">
        <f t="shared" si="1"/>
        <v>0.59090909090909094</v>
      </c>
      <c r="L20" t="str">
        <f t="shared" si="6"/>
        <v>Q2</v>
      </c>
    </row>
    <row r="21" spans="1:12">
      <c r="A21" s="7">
        <v>45439</v>
      </c>
      <c r="B21" s="12">
        <v>34000</v>
      </c>
      <c r="C21" s="12">
        <v>20000</v>
      </c>
      <c r="D21" t="str">
        <f t="shared" si="2"/>
        <v>May</v>
      </c>
      <c r="E21" s="12">
        <f>VLOOKUP(D21,'Budget Data'!$A$2:$C$13,2,0)</f>
        <v>120000</v>
      </c>
      <c r="F21" s="12">
        <f>VLOOKUP(D21,'Budget Data'!$A$2:$C$13,3,0)</f>
        <v>75000</v>
      </c>
      <c r="G21" s="12">
        <f t="shared" si="3"/>
        <v>14000</v>
      </c>
      <c r="H21" s="12">
        <f t="shared" si="4"/>
        <v>-86000</v>
      </c>
      <c r="I21" s="12">
        <f t="shared" si="5"/>
        <v>-55000</v>
      </c>
      <c r="J21" s="13">
        <f t="shared" si="0"/>
        <v>0.41176470588235292</v>
      </c>
      <c r="K21" s="13">
        <f t="shared" si="1"/>
        <v>0.58823529411764708</v>
      </c>
      <c r="L21" t="str">
        <f t="shared" si="6"/>
        <v>Q2</v>
      </c>
    </row>
    <row r="22" spans="1:12">
      <c r="A22" s="7">
        <v>45447</v>
      </c>
      <c r="B22" s="12">
        <v>33000</v>
      </c>
      <c r="C22" s="12">
        <v>19500</v>
      </c>
      <c r="D22" t="str">
        <f t="shared" si="2"/>
        <v>Jun</v>
      </c>
      <c r="E22" s="12">
        <f>VLOOKUP(D22,'Budget Data'!$A$2:$C$13,2,0)</f>
        <v>125000</v>
      </c>
      <c r="F22" s="12">
        <f>VLOOKUP(D22,'Budget Data'!$A$2:$C$13,3,0)</f>
        <v>78000</v>
      </c>
      <c r="G22" s="12">
        <f t="shared" si="3"/>
        <v>13500</v>
      </c>
      <c r="H22" s="12">
        <f t="shared" si="4"/>
        <v>-92000</v>
      </c>
      <c r="I22" s="12">
        <f t="shared" si="5"/>
        <v>-58500</v>
      </c>
      <c r="J22" s="13">
        <f t="shared" si="0"/>
        <v>0.40909090909090912</v>
      </c>
      <c r="K22" s="13">
        <f t="shared" si="1"/>
        <v>0.59090909090909094</v>
      </c>
      <c r="L22" t="str">
        <f t="shared" si="6"/>
        <v>Q2</v>
      </c>
    </row>
    <row r="23" spans="1:12">
      <c r="A23" s="7">
        <v>45455</v>
      </c>
      <c r="B23" s="12">
        <v>35000</v>
      </c>
      <c r="C23" s="12">
        <v>20500</v>
      </c>
      <c r="D23" t="str">
        <f t="shared" si="2"/>
        <v>Jun</v>
      </c>
      <c r="E23" s="12">
        <f>VLOOKUP(D23,'Budget Data'!$A$2:$C$13,2,0)</f>
        <v>125000</v>
      </c>
      <c r="F23" s="12">
        <f>VLOOKUP(D23,'Budget Data'!$A$2:$C$13,3,0)</f>
        <v>78000</v>
      </c>
      <c r="G23" s="12">
        <f t="shared" si="3"/>
        <v>14500</v>
      </c>
      <c r="H23" s="12">
        <f t="shared" si="4"/>
        <v>-90000</v>
      </c>
      <c r="I23" s="12">
        <f t="shared" si="5"/>
        <v>-57500</v>
      </c>
      <c r="J23" s="13">
        <f t="shared" si="0"/>
        <v>0.41428571428571431</v>
      </c>
      <c r="K23" s="13">
        <f t="shared" si="1"/>
        <v>0.58571428571428574</v>
      </c>
      <c r="L23" t="str">
        <f t="shared" si="6"/>
        <v>Q2</v>
      </c>
    </row>
    <row r="24" spans="1:12">
      <c r="A24" s="7">
        <v>45463</v>
      </c>
      <c r="B24" s="12">
        <v>34000</v>
      </c>
      <c r="C24" s="12">
        <v>20000</v>
      </c>
      <c r="D24" t="str">
        <f t="shared" si="2"/>
        <v>Jun</v>
      </c>
      <c r="E24" s="12">
        <f>VLOOKUP(D24,'Budget Data'!$A$2:$C$13,2,0)</f>
        <v>125000</v>
      </c>
      <c r="F24" s="12">
        <f>VLOOKUP(D24,'Budget Data'!$A$2:$C$13,3,0)</f>
        <v>78000</v>
      </c>
      <c r="G24" s="12">
        <f t="shared" si="3"/>
        <v>14000</v>
      </c>
      <c r="H24" s="12">
        <f t="shared" si="4"/>
        <v>-91000</v>
      </c>
      <c r="I24" s="12">
        <f t="shared" si="5"/>
        <v>-58000</v>
      </c>
      <c r="J24" s="13">
        <f t="shared" si="0"/>
        <v>0.41176470588235292</v>
      </c>
      <c r="K24" s="13">
        <f t="shared" si="1"/>
        <v>0.58823529411764708</v>
      </c>
      <c r="L24" t="str">
        <f t="shared" si="6"/>
        <v>Q2</v>
      </c>
    </row>
    <row r="25" spans="1:12">
      <c r="A25" s="7">
        <v>45471</v>
      </c>
      <c r="B25" s="12">
        <v>36000</v>
      </c>
      <c r="C25" s="12">
        <v>21000</v>
      </c>
      <c r="D25" t="str">
        <f t="shared" si="2"/>
        <v>Jun</v>
      </c>
      <c r="E25" s="12">
        <f>VLOOKUP(D25,'Budget Data'!$A$2:$C$13,2,0)</f>
        <v>125000</v>
      </c>
      <c r="F25" s="12">
        <f>VLOOKUP(D25,'Budget Data'!$A$2:$C$13,3,0)</f>
        <v>78000</v>
      </c>
      <c r="G25" s="12">
        <f t="shared" si="3"/>
        <v>15000</v>
      </c>
      <c r="H25" s="12">
        <f t="shared" si="4"/>
        <v>-89000</v>
      </c>
      <c r="I25" s="12">
        <f t="shared" si="5"/>
        <v>-57000</v>
      </c>
      <c r="J25" s="13">
        <f t="shared" si="0"/>
        <v>0.41666666666666669</v>
      </c>
      <c r="K25" s="13">
        <f t="shared" si="1"/>
        <v>0.58333333333333337</v>
      </c>
      <c r="L25" t="str">
        <f t="shared" si="6"/>
        <v>Q2</v>
      </c>
    </row>
    <row r="26" spans="1:12">
      <c r="A26" s="7">
        <v>45475</v>
      </c>
      <c r="B26" s="12">
        <v>30000</v>
      </c>
      <c r="C26" s="12">
        <v>18000</v>
      </c>
      <c r="D26" t="str">
        <f t="shared" si="2"/>
        <v>Jul</v>
      </c>
      <c r="E26" s="12">
        <f>VLOOKUP(D26,'Budget Data'!$A$2:$C$13,2,0)</f>
        <v>118000</v>
      </c>
      <c r="F26" s="12">
        <f>VLOOKUP(D26,'Budget Data'!$A$2:$C$13,3,0)</f>
        <v>74000</v>
      </c>
      <c r="G26" s="12">
        <f t="shared" si="3"/>
        <v>12000</v>
      </c>
      <c r="H26" s="12">
        <f t="shared" si="4"/>
        <v>-88000</v>
      </c>
      <c r="I26" s="12">
        <f t="shared" si="5"/>
        <v>-56000</v>
      </c>
      <c r="J26" s="13">
        <f t="shared" si="0"/>
        <v>0.4</v>
      </c>
      <c r="K26" s="13">
        <f t="shared" si="1"/>
        <v>0.6</v>
      </c>
      <c r="L26" t="str">
        <f t="shared" si="6"/>
        <v>Q3</v>
      </c>
    </row>
    <row r="27" spans="1:12">
      <c r="A27" s="7">
        <v>45483</v>
      </c>
      <c r="B27" s="12">
        <v>31000</v>
      </c>
      <c r="C27" s="12">
        <v>18500</v>
      </c>
      <c r="D27" t="str">
        <f t="shared" si="2"/>
        <v>Jul</v>
      </c>
      <c r="E27" s="12">
        <f>VLOOKUP(D27,'Budget Data'!$A$2:$C$13,2,0)</f>
        <v>118000</v>
      </c>
      <c r="F27" s="12">
        <f>VLOOKUP(D27,'Budget Data'!$A$2:$C$13,3,0)</f>
        <v>74000</v>
      </c>
      <c r="G27" s="12">
        <f t="shared" si="3"/>
        <v>12500</v>
      </c>
      <c r="H27" s="12">
        <f t="shared" si="4"/>
        <v>-87000</v>
      </c>
      <c r="I27" s="12">
        <f t="shared" si="5"/>
        <v>-55500</v>
      </c>
      <c r="J27" s="13">
        <f t="shared" si="0"/>
        <v>0.40322580645161288</v>
      </c>
      <c r="K27" s="13">
        <f t="shared" si="1"/>
        <v>0.59677419354838712</v>
      </c>
      <c r="L27" t="str">
        <f t="shared" si="6"/>
        <v>Q3</v>
      </c>
    </row>
    <row r="28" spans="1:12">
      <c r="A28" s="7">
        <v>45491</v>
      </c>
      <c r="B28" s="12">
        <v>29500</v>
      </c>
      <c r="C28" s="12">
        <v>17500</v>
      </c>
      <c r="D28" t="str">
        <f t="shared" si="2"/>
        <v>Jul</v>
      </c>
      <c r="E28" s="12">
        <f>VLOOKUP(D28,'Budget Data'!$A$2:$C$13,2,0)</f>
        <v>118000</v>
      </c>
      <c r="F28" s="12">
        <f>VLOOKUP(D28,'Budget Data'!$A$2:$C$13,3,0)</f>
        <v>74000</v>
      </c>
      <c r="G28" s="12">
        <f t="shared" si="3"/>
        <v>12000</v>
      </c>
      <c r="H28" s="12">
        <f t="shared" si="4"/>
        <v>-88500</v>
      </c>
      <c r="I28" s="12">
        <f t="shared" si="5"/>
        <v>-56500</v>
      </c>
      <c r="J28" s="13">
        <f t="shared" si="0"/>
        <v>0.40677966101694918</v>
      </c>
      <c r="K28" s="13">
        <f t="shared" si="1"/>
        <v>0.59322033898305082</v>
      </c>
      <c r="L28" t="str">
        <f t="shared" si="6"/>
        <v>Q3</v>
      </c>
    </row>
    <row r="29" spans="1:12">
      <c r="A29" s="7">
        <v>45499</v>
      </c>
      <c r="B29" s="12">
        <v>32000</v>
      </c>
      <c r="C29" s="12">
        <v>19000</v>
      </c>
      <c r="D29" t="str">
        <f t="shared" si="2"/>
        <v>Jul</v>
      </c>
      <c r="E29" s="12">
        <f>VLOOKUP(D29,'Budget Data'!$A$2:$C$13,2,0)</f>
        <v>118000</v>
      </c>
      <c r="F29" s="12">
        <f>VLOOKUP(D29,'Budget Data'!$A$2:$C$13,3,0)</f>
        <v>74000</v>
      </c>
      <c r="G29" s="12">
        <f t="shared" si="3"/>
        <v>13000</v>
      </c>
      <c r="H29" s="12">
        <f t="shared" si="4"/>
        <v>-86000</v>
      </c>
      <c r="I29" s="12">
        <f t="shared" si="5"/>
        <v>-55000</v>
      </c>
      <c r="J29" s="13">
        <f t="shared" si="0"/>
        <v>0.40625</v>
      </c>
      <c r="K29" s="13">
        <f t="shared" si="1"/>
        <v>0.59375</v>
      </c>
      <c r="L29" t="str">
        <f t="shared" si="6"/>
        <v>Q3</v>
      </c>
    </row>
    <row r="30" spans="1:12">
      <c r="A30" s="7">
        <v>45507</v>
      </c>
      <c r="B30" s="12">
        <v>32000</v>
      </c>
      <c r="C30" s="12">
        <v>19000</v>
      </c>
      <c r="D30" t="str">
        <f t="shared" si="2"/>
        <v>Aug</v>
      </c>
      <c r="E30" s="12">
        <f>VLOOKUP(D30,'Budget Data'!$A$2:$C$13,2,0)</f>
        <v>122000</v>
      </c>
      <c r="F30" s="12">
        <f>VLOOKUP(D30,'Budget Data'!$A$2:$C$13,3,0)</f>
        <v>76000</v>
      </c>
      <c r="G30" s="12">
        <f t="shared" si="3"/>
        <v>13000</v>
      </c>
      <c r="H30" s="12">
        <f t="shared" si="4"/>
        <v>-90000</v>
      </c>
      <c r="I30" s="12">
        <f t="shared" si="5"/>
        <v>-57000</v>
      </c>
      <c r="J30" s="13">
        <f t="shared" si="0"/>
        <v>0.40625</v>
      </c>
      <c r="K30" s="13">
        <f t="shared" si="1"/>
        <v>0.59375</v>
      </c>
      <c r="L30" t="str">
        <f t="shared" si="6"/>
        <v>Q3</v>
      </c>
    </row>
    <row r="31" spans="1:12">
      <c r="A31" s="7">
        <v>45515</v>
      </c>
      <c r="B31" s="12">
        <v>33000</v>
      </c>
      <c r="C31" s="12">
        <v>19500</v>
      </c>
      <c r="D31" t="str">
        <f t="shared" si="2"/>
        <v>Aug</v>
      </c>
      <c r="E31" s="12">
        <f>VLOOKUP(D31,'Budget Data'!$A$2:$C$13,2,0)</f>
        <v>122000</v>
      </c>
      <c r="F31" s="12">
        <f>VLOOKUP(D31,'Budget Data'!$A$2:$C$13,3,0)</f>
        <v>76000</v>
      </c>
      <c r="G31" s="12">
        <f t="shared" si="3"/>
        <v>13500</v>
      </c>
      <c r="H31" s="12">
        <f t="shared" si="4"/>
        <v>-89000</v>
      </c>
      <c r="I31" s="12">
        <f t="shared" si="5"/>
        <v>-56500</v>
      </c>
      <c r="J31" s="13">
        <f t="shared" si="0"/>
        <v>0.40909090909090912</v>
      </c>
      <c r="K31" s="13">
        <f t="shared" si="1"/>
        <v>0.59090909090909094</v>
      </c>
      <c r="L31" t="str">
        <f t="shared" si="6"/>
        <v>Q3</v>
      </c>
    </row>
    <row r="32" spans="1:12">
      <c r="A32" s="7">
        <v>45523</v>
      </c>
      <c r="B32" s="12">
        <v>31500</v>
      </c>
      <c r="C32" s="12">
        <v>18500</v>
      </c>
      <c r="D32" t="str">
        <f t="shared" si="2"/>
        <v>Aug</v>
      </c>
      <c r="E32" s="12">
        <f>VLOOKUP(D32,'Budget Data'!$A$2:$C$13,2,0)</f>
        <v>122000</v>
      </c>
      <c r="F32" s="12">
        <f>VLOOKUP(D32,'Budget Data'!$A$2:$C$13,3,0)</f>
        <v>76000</v>
      </c>
      <c r="G32" s="12">
        <f t="shared" si="3"/>
        <v>13000</v>
      </c>
      <c r="H32" s="12">
        <f t="shared" si="4"/>
        <v>-90500</v>
      </c>
      <c r="I32" s="12">
        <f t="shared" si="5"/>
        <v>-57500</v>
      </c>
      <c r="J32" s="13">
        <f t="shared" si="0"/>
        <v>0.41269841269841268</v>
      </c>
      <c r="K32" s="13">
        <f t="shared" si="1"/>
        <v>0.58730158730158732</v>
      </c>
      <c r="L32" t="str">
        <f t="shared" si="6"/>
        <v>Q3</v>
      </c>
    </row>
    <row r="33" spans="1:12">
      <c r="A33" s="7">
        <v>45531</v>
      </c>
      <c r="B33" s="12">
        <v>34000</v>
      </c>
      <c r="C33" s="12">
        <v>18500</v>
      </c>
      <c r="D33" t="str">
        <f t="shared" si="2"/>
        <v>Aug</v>
      </c>
      <c r="E33" s="12">
        <f>VLOOKUP(D33,'Budget Data'!$A$2:$C$13,2,0)</f>
        <v>122000</v>
      </c>
      <c r="F33" s="12">
        <f>VLOOKUP(D33,'Budget Data'!$A$2:$C$13,3,0)</f>
        <v>76000</v>
      </c>
      <c r="G33" s="12">
        <f t="shared" si="3"/>
        <v>15500</v>
      </c>
      <c r="H33" s="12">
        <f t="shared" si="4"/>
        <v>-88000</v>
      </c>
      <c r="I33" s="12">
        <f t="shared" si="5"/>
        <v>-57500</v>
      </c>
      <c r="J33" s="13">
        <f t="shared" si="0"/>
        <v>0.45588235294117646</v>
      </c>
      <c r="K33" s="13">
        <f t="shared" si="1"/>
        <v>0.54411764705882348</v>
      </c>
      <c r="L33" t="str">
        <f t="shared" si="6"/>
        <v>Q3</v>
      </c>
    </row>
    <row r="34" spans="1:12">
      <c r="A34" s="7">
        <v>45539</v>
      </c>
      <c r="B34" s="12">
        <v>34000</v>
      </c>
      <c r="C34" s="12">
        <v>20000</v>
      </c>
      <c r="D34" t="str">
        <f t="shared" si="2"/>
        <v>Sep</v>
      </c>
      <c r="E34" s="12">
        <f>VLOOKUP(D34,'Budget Data'!$A$2:$C$13,2,0)</f>
        <v>130000</v>
      </c>
      <c r="F34" s="12">
        <f>VLOOKUP(D34,'Budget Data'!$A$2:$C$13,3,0)</f>
        <v>80000</v>
      </c>
      <c r="G34" s="12">
        <f t="shared" si="3"/>
        <v>14000</v>
      </c>
      <c r="H34" s="12">
        <f t="shared" si="4"/>
        <v>-96000</v>
      </c>
      <c r="I34" s="12">
        <f t="shared" si="5"/>
        <v>-60000</v>
      </c>
      <c r="J34" s="13">
        <f t="shared" si="0"/>
        <v>0.41176470588235292</v>
      </c>
      <c r="K34" s="13">
        <f t="shared" si="1"/>
        <v>0.58823529411764708</v>
      </c>
      <c r="L34" t="str">
        <f t="shared" si="6"/>
        <v>Q3</v>
      </c>
    </row>
    <row r="35" spans="1:12">
      <c r="A35" s="7">
        <v>45547</v>
      </c>
      <c r="B35" s="12">
        <v>36000</v>
      </c>
      <c r="C35" s="12">
        <v>21000</v>
      </c>
      <c r="D35" t="str">
        <f t="shared" si="2"/>
        <v>Sep</v>
      </c>
      <c r="E35" s="12">
        <f>VLOOKUP(D35,'Budget Data'!$A$2:$C$13,2,0)</f>
        <v>130000</v>
      </c>
      <c r="F35" s="12">
        <f>VLOOKUP(D35,'Budget Data'!$A$2:$C$13,3,0)</f>
        <v>80000</v>
      </c>
      <c r="G35" s="12">
        <f t="shared" si="3"/>
        <v>15000</v>
      </c>
      <c r="H35" s="12">
        <f t="shared" si="4"/>
        <v>-94000</v>
      </c>
      <c r="I35" s="12">
        <f t="shared" si="5"/>
        <v>-59000</v>
      </c>
      <c r="J35" s="13">
        <f t="shared" si="0"/>
        <v>0.41666666666666669</v>
      </c>
      <c r="K35" s="13">
        <f t="shared" si="1"/>
        <v>0.58333333333333337</v>
      </c>
      <c r="L35" t="str">
        <f t="shared" si="6"/>
        <v>Q3</v>
      </c>
    </row>
    <row r="36" spans="1:12">
      <c r="A36" s="7">
        <v>45555</v>
      </c>
      <c r="B36" s="12">
        <v>35000</v>
      </c>
      <c r="C36" s="12">
        <v>20500</v>
      </c>
      <c r="D36" t="str">
        <f t="shared" si="2"/>
        <v>Sep</v>
      </c>
      <c r="E36" s="12">
        <f>VLOOKUP(D36,'Budget Data'!$A$2:$C$13,2,0)</f>
        <v>130000</v>
      </c>
      <c r="F36" s="12">
        <f>VLOOKUP(D36,'Budget Data'!$A$2:$C$13,3,0)</f>
        <v>80000</v>
      </c>
      <c r="G36" s="12">
        <f t="shared" si="3"/>
        <v>14500</v>
      </c>
      <c r="H36" s="12">
        <f t="shared" si="4"/>
        <v>-95000</v>
      </c>
      <c r="I36" s="12">
        <f t="shared" si="5"/>
        <v>-59500</v>
      </c>
      <c r="J36" s="13">
        <f t="shared" si="0"/>
        <v>0.41428571428571431</v>
      </c>
      <c r="K36" s="13">
        <f t="shared" si="1"/>
        <v>0.58571428571428574</v>
      </c>
      <c r="L36" t="str">
        <f t="shared" si="6"/>
        <v>Q3</v>
      </c>
    </row>
    <row r="37" spans="1:12">
      <c r="A37" s="7">
        <v>45563</v>
      </c>
      <c r="B37" s="12">
        <v>37000</v>
      </c>
      <c r="C37" s="12">
        <v>21500</v>
      </c>
      <c r="D37" t="str">
        <f t="shared" si="2"/>
        <v>Sep</v>
      </c>
      <c r="E37" s="12">
        <f>VLOOKUP(D37,'Budget Data'!$A$2:$C$13,2,0)</f>
        <v>130000</v>
      </c>
      <c r="F37" s="12">
        <f>VLOOKUP(D37,'Budget Data'!$A$2:$C$13,3,0)</f>
        <v>80000</v>
      </c>
      <c r="G37" s="12">
        <f t="shared" si="3"/>
        <v>15500</v>
      </c>
      <c r="H37" s="12">
        <f t="shared" si="4"/>
        <v>-93000</v>
      </c>
      <c r="I37" s="12">
        <f t="shared" si="5"/>
        <v>-58500</v>
      </c>
      <c r="J37" s="13">
        <f t="shared" si="0"/>
        <v>0.41891891891891891</v>
      </c>
      <c r="K37" s="13">
        <f t="shared" si="1"/>
        <v>0.58108108108108103</v>
      </c>
      <c r="L37" t="str">
        <f t="shared" si="6"/>
        <v>Q3</v>
      </c>
    </row>
    <row r="38" spans="1:12">
      <c r="A38" s="7">
        <v>45568</v>
      </c>
      <c r="B38" s="12">
        <v>21500</v>
      </c>
      <c r="C38" s="12">
        <v>20500</v>
      </c>
      <c r="D38" t="str">
        <f t="shared" si="2"/>
        <v>Oct</v>
      </c>
      <c r="E38" s="12">
        <f>VLOOKUP(D38,'Budget Data'!$A$2:$C$13,2,0)</f>
        <v>135000</v>
      </c>
      <c r="F38" s="12">
        <f>VLOOKUP(D38,'Budget Data'!$A$2:$C$13,3,0)</f>
        <v>83000</v>
      </c>
      <c r="G38" s="12">
        <f t="shared" si="3"/>
        <v>1000</v>
      </c>
      <c r="H38" s="12">
        <f t="shared" si="4"/>
        <v>-113500</v>
      </c>
      <c r="I38" s="12">
        <f t="shared" si="5"/>
        <v>-62500</v>
      </c>
      <c r="J38" s="13">
        <f t="shared" si="0"/>
        <v>4.6511627906976744E-2</v>
      </c>
      <c r="K38" s="13">
        <f t="shared" si="1"/>
        <v>0.95348837209302328</v>
      </c>
      <c r="L38" t="str">
        <f t="shared" si="6"/>
        <v>Q4</v>
      </c>
    </row>
    <row r="39" spans="1:12">
      <c r="A39" s="7">
        <v>45576</v>
      </c>
      <c r="B39" s="12">
        <v>37000</v>
      </c>
      <c r="C39" s="12">
        <v>21500</v>
      </c>
      <c r="D39" t="str">
        <f t="shared" si="2"/>
        <v>Oct</v>
      </c>
      <c r="E39" s="12">
        <f>VLOOKUP(D39,'Budget Data'!$A$2:$C$13,2,0)</f>
        <v>135000</v>
      </c>
      <c r="F39" s="12">
        <f>VLOOKUP(D39,'Budget Data'!$A$2:$C$13,3,0)</f>
        <v>83000</v>
      </c>
      <c r="G39" s="12">
        <f t="shared" si="3"/>
        <v>15500</v>
      </c>
      <c r="H39" s="12">
        <f t="shared" si="4"/>
        <v>-98000</v>
      </c>
      <c r="I39" s="12">
        <f t="shared" si="5"/>
        <v>-61500</v>
      </c>
      <c r="J39" s="13">
        <f t="shared" si="0"/>
        <v>0.41891891891891891</v>
      </c>
      <c r="K39" s="13">
        <f t="shared" si="1"/>
        <v>0.58108108108108103</v>
      </c>
      <c r="L39" t="str">
        <f t="shared" si="6"/>
        <v>Q4</v>
      </c>
    </row>
    <row r="40" spans="1:12">
      <c r="A40" s="7">
        <v>45584</v>
      </c>
      <c r="B40" s="12">
        <v>36000</v>
      </c>
      <c r="C40" s="12">
        <v>21000</v>
      </c>
      <c r="D40" t="str">
        <f t="shared" si="2"/>
        <v>Oct</v>
      </c>
      <c r="E40" s="12">
        <f>VLOOKUP(D40,'Budget Data'!$A$2:$C$13,2,0)</f>
        <v>135000</v>
      </c>
      <c r="F40" s="12">
        <f>VLOOKUP(D40,'Budget Data'!$A$2:$C$13,3,0)</f>
        <v>83000</v>
      </c>
      <c r="G40" s="12">
        <f t="shared" si="3"/>
        <v>15000</v>
      </c>
      <c r="H40" s="12">
        <f t="shared" si="4"/>
        <v>-99000</v>
      </c>
      <c r="I40" s="12">
        <f t="shared" si="5"/>
        <v>-62000</v>
      </c>
      <c r="J40" s="13">
        <f t="shared" si="0"/>
        <v>0.41666666666666669</v>
      </c>
      <c r="K40" s="13">
        <f t="shared" si="1"/>
        <v>0.58333333333333337</v>
      </c>
      <c r="L40" t="str">
        <f t="shared" si="6"/>
        <v>Q4</v>
      </c>
    </row>
    <row r="41" spans="1:12">
      <c r="A41" s="7">
        <v>45592</v>
      </c>
      <c r="B41" s="12">
        <v>38000</v>
      </c>
      <c r="C41" s="12">
        <v>22000</v>
      </c>
      <c r="D41" t="str">
        <f t="shared" si="2"/>
        <v>Oct</v>
      </c>
      <c r="E41" s="12">
        <f>VLOOKUP(D41,'Budget Data'!$A$2:$C$13,2,0)</f>
        <v>135000</v>
      </c>
      <c r="F41" s="12">
        <f>VLOOKUP(D41,'Budget Data'!$A$2:$C$13,3,0)</f>
        <v>83000</v>
      </c>
      <c r="G41" s="12">
        <f t="shared" si="3"/>
        <v>16000</v>
      </c>
      <c r="H41" s="12">
        <f t="shared" si="4"/>
        <v>-97000</v>
      </c>
      <c r="I41" s="12">
        <f t="shared" si="5"/>
        <v>-61000</v>
      </c>
      <c r="J41" s="13">
        <f t="shared" si="0"/>
        <v>0.42105263157894735</v>
      </c>
      <c r="K41" s="13">
        <f t="shared" si="1"/>
        <v>0.57894736842105265</v>
      </c>
      <c r="L41" t="str">
        <f t="shared" si="6"/>
        <v>Q4</v>
      </c>
    </row>
    <row r="42" spans="1:12">
      <c r="A42" s="7">
        <v>45600</v>
      </c>
      <c r="B42" s="12">
        <v>37000</v>
      </c>
      <c r="C42" s="12">
        <v>21500</v>
      </c>
      <c r="D42" t="str">
        <f t="shared" si="2"/>
        <v>Nov</v>
      </c>
      <c r="E42" s="12">
        <f>VLOOKUP(D42,'Budget Data'!$A$2:$C$13,2,0)</f>
        <v>140000</v>
      </c>
      <c r="F42" s="12">
        <f>VLOOKUP(D42,'Budget Data'!$A$2:$C$13,3,0)</f>
        <v>87000</v>
      </c>
      <c r="G42" s="12">
        <f t="shared" si="3"/>
        <v>15500</v>
      </c>
      <c r="H42" s="12">
        <f t="shared" si="4"/>
        <v>-103000</v>
      </c>
      <c r="I42" s="12">
        <f t="shared" si="5"/>
        <v>-65500</v>
      </c>
      <c r="J42" s="13">
        <f t="shared" si="0"/>
        <v>0.41891891891891891</v>
      </c>
      <c r="K42" s="13">
        <f t="shared" si="1"/>
        <v>0.58108108108108103</v>
      </c>
      <c r="L42" t="str">
        <f t="shared" si="6"/>
        <v>Q4</v>
      </c>
    </row>
    <row r="43" spans="1:12">
      <c r="A43" s="7">
        <v>45608</v>
      </c>
      <c r="B43" s="12">
        <v>39000</v>
      </c>
      <c r="C43" s="12">
        <v>22500</v>
      </c>
      <c r="D43" t="str">
        <f t="shared" si="2"/>
        <v>Nov</v>
      </c>
      <c r="E43" s="12">
        <f>VLOOKUP(D43,'Budget Data'!$A$2:$C$13,2,0)</f>
        <v>140000</v>
      </c>
      <c r="F43" s="12">
        <f>VLOOKUP(D43,'Budget Data'!$A$2:$C$13,3,0)</f>
        <v>87000</v>
      </c>
      <c r="G43" s="12">
        <f t="shared" si="3"/>
        <v>16500</v>
      </c>
      <c r="H43" s="12">
        <f t="shared" si="4"/>
        <v>-101000</v>
      </c>
      <c r="I43" s="12">
        <f t="shared" si="5"/>
        <v>-64500</v>
      </c>
      <c r="J43" s="13">
        <f t="shared" si="0"/>
        <v>0.42307692307692307</v>
      </c>
      <c r="K43" s="13">
        <f t="shared" si="1"/>
        <v>0.57692307692307687</v>
      </c>
      <c r="L43" t="str">
        <f t="shared" si="6"/>
        <v>Q4</v>
      </c>
    </row>
    <row r="44" spans="1:12">
      <c r="A44" s="7">
        <v>45616</v>
      </c>
      <c r="B44" s="12">
        <v>38000</v>
      </c>
      <c r="C44" s="12">
        <v>22000</v>
      </c>
      <c r="D44" t="str">
        <f t="shared" si="2"/>
        <v>Nov</v>
      </c>
      <c r="E44" s="12">
        <f>VLOOKUP(D44,'Budget Data'!$A$2:$C$13,2,0)</f>
        <v>140000</v>
      </c>
      <c r="F44" s="12">
        <f>VLOOKUP(D44,'Budget Data'!$A$2:$C$13,3,0)</f>
        <v>87000</v>
      </c>
      <c r="G44" s="12">
        <f t="shared" si="3"/>
        <v>16000</v>
      </c>
      <c r="H44" s="12">
        <f t="shared" si="4"/>
        <v>-102000</v>
      </c>
      <c r="I44" s="12">
        <f t="shared" si="5"/>
        <v>-65000</v>
      </c>
      <c r="J44" s="13">
        <f t="shared" si="0"/>
        <v>0.42105263157894735</v>
      </c>
      <c r="K44" s="13">
        <f t="shared" si="1"/>
        <v>0.57894736842105265</v>
      </c>
      <c r="L44" t="str">
        <f t="shared" si="6"/>
        <v>Q4</v>
      </c>
    </row>
    <row r="45" spans="1:12">
      <c r="A45" s="7">
        <v>45624</v>
      </c>
      <c r="B45" s="12">
        <v>38000</v>
      </c>
      <c r="C45" s="12">
        <v>23000</v>
      </c>
      <c r="D45" t="str">
        <f t="shared" si="2"/>
        <v>Nov</v>
      </c>
      <c r="E45" s="12">
        <f>VLOOKUP(D45,'Budget Data'!$A$2:$C$13,2,0)</f>
        <v>140000</v>
      </c>
      <c r="F45" s="12">
        <f>VLOOKUP(D45,'Budget Data'!$A$2:$C$13,3,0)</f>
        <v>87000</v>
      </c>
      <c r="G45" s="12">
        <f t="shared" si="3"/>
        <v>15000</v>
      </c>
      <c r="H45" s="12">
        <f t="shared" si="4"/>
        <v>-102000</v>
      </c>
      <c r="I45" s="12">
        <f t="shared" si="5"/>
        <v>-64000</v>
      </c>
      <c r="J45" s="13">
        <f t="shared" si="0"/>
        <v>0.39473684210526316</v>
      </c>
      <c r="K45" s="13">
        <f t="shared" si="1"/>
        <v>0.60526315789473684</v>
      </c>
      <c r="L45" t="str">
        <f t="shared" si="6"/>
        <v>Q4</v>
      </c>
    </row>
    <row r="46" spans="1:12">
      <c r="A46" s="7">
        <v>45630</v>
      </c>
      <c r="B46" s="12">
        <v>40000</v>
      </c>
      <c r="C46" s="12">
        <v>23000</v>
      </c>
      <c r="D46" t="str">
        <f t="shared" si="2"/>
        <v>Dec</v>
      </c>
      <c r="E46" s="12">
        <f>VLOOKUP(D46,'Budget Data'!$A$2:$C$13,2,0)</f>
        <v>140000</v>
      </c>
      <c r="F46" s="12">
        <f>VLOOKUP(D46,'Budget Data'!$A$2:$C$13,3,0)</f>
        <v>92000</v>
      </c>
      <c r="G46" s="12">
        <f t="shared" si="3"/>
        <v>17000</v>
      </c>
      <c r="H46" s="12">
        <f t="shared" si="4"/>
        <v>-100000</v>
      </c>
      <c r="I46" s="12">
        <f t="shared" si="5"/>
        <v>-69000</v>
      </c>
      <c r="J46" s="13">
        <f t="shared" si="0"/>
        <v>0.42499999999999999</v>
      </c>
      <c r="K46" s="13">
        <f t="shared" si="1"/>
        <v>0.57499999999999996</v>
      </c>
      <c r="L46" t="str">
        <f t="shared" si="6"/>
        <v>Q4</v>
      </c>
    </row>
    <row r="47" spans="1:12">
      <c r="A47" s="7">
        <v>45638</v>
      </c>
      <c r="B47" s="12">
        <v>42000</v>
      </c>
      <c r="C47" s="12">
        <v>24000</v>
      </c>
      <c r="D47" t="str">
        <f t="shared" si="2"/>
        <v>Dec</v>
      </c>
      <c r="E47" s="12">
        <f>VLOOKUP(D47,'Budget Data'!$A$2:$C$13,2,0)</f>
        <v>140000</v>
      </c>
      <c r="F47" s="12">
        <f>VLOOKUP(D47,'Budget Data'!$A$2:$C$13,3,0)</f>
        <v>92000</v>
      </c>
      <c r="G47" s="12">
        <f t="shared" si="3"/>
        <v>18000</v>
      </c>
      <c r="H47" s="12">
        <f t="shared" si="4"/>
        <v>-98000</v>
      </c>
      <c r="I47" s="12">
        <f t="shared" si="5"/>
        <v>-68000</v>
      </c>
      <c r="J47" s="13">
        <f t="shared" si="0"/>
        <v>0.42857142857142855</v>
      </c>
      <c r="K47" s="13">
        <f t="shared" si="1"/>
        <v>0.5714285714285714</v>
      </c>
      <c r="L47" t="str">
        <f t="shared" si="6"/>
        <v>Q4</v>
      </c>
    </row>
    <row r="48" spans="1:12">
      <c r="A48" s="7">
        <v>45646</v>
      </c>
      <c r="B48" s="12">
        <v>42000</v>
      </c>
      <c r="C48" s="12">
        <v>23500</v>
      </c>
      <c r="D48" t="str">
        <f t="shared" si="2"/>
        <v>Dec</v>
      </c>
      <c r="E48" s="12">
        <f>VLOOKUP(D48,'Budget Data'!$A$2:$C$13,2,0)</f>
        <v>140000</v>
      </c>
      <c r="F48" s="12">
        <f>VLOOKUP(D48,'Budget Data'!$A$2:$C$13,3,0)</f>
        <v>92000</v>
      </c>
      <c r="G48" s="12">
        <f t="shared" si="3"/>
        <v>18500</v>
      </c>
      <c r="H48" s="12">
        <f t="shared" si="4"/>
        <v>-98000</v>
      </c>
      <c r="I48" s="12">
        <f t="shared" si="5"/>
        <v>-68500</v>
      </c>
      <c r="J48" s="13">
        <f t="shared" si="0"/>
        <v>0.44047619047619047</v>
      </c>
      <c r="K48" s="13">
        <f t="shared" si="1"/>
        <v>0.55952380952380953</v>
      </c>
      <c r="L48" t="str">
        <f t="shared" si="6"/>
        <v>Q4</v>
      </c>
    </row>
    <row r="49" spans="1:12">
      <c r="A49" s="7">
        <v>45654</v>
      </c>
      <c r="B49" s="12">
        <v>43000</v>
      </c>
      <c r="C49" s="12">
        <v>25000</v>
      </c>
      <c r="D49" t="str">
        <f t="shared" si="2"/>
        <v>Dec</v>
      </c>
      <c r="E49" s="12">
        <f>VLOOKUP(D49,'Budget Data'!$A$2:$C$13,2,0)</f>
        <v>140000</v>
      </c>
      <c r="F49" s="12">
        <f>VLOOKUP(D49,'Budget Data'!$A$2:$C$13,3,0)</f>
        <v>92000</v>
      </c>
      <c r="G49" s="12">
        <f t="shared" si="3"/>
        <v>18000</v>
      </c>
      <c r="H49" s="12">
        <f t="shared" si="4"/>
        <v>-97000</v>
      </c>
      <c r="I49" s="12">
        <f t="shared" si="5"/>
        <v>-67000</v>
      </c>
      <c r="J49" s="13">
        <f t="shared" si="0"/>
        <v>0.41860465116279072</v>
      </c>
      <c r="K49" s="13">
        <f t="shared" si="1"/>
        <v>0.58139534883720934</v>
      </c>
      <c r="L49" t="str">
        <f t="shared" si="6"/>
        <v>Q4</v>
      </c>
    </row>
  </sheetData>
  <phoneticPr fontId="3"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1C0D8-AD74-496A-8306-D8326C624F95}">
  <sheetPr codeName="Sheet1"/>
  <dimension ref="A3:C35"/>
  <sheetViews>
    <sheetView zoomScale="114" workbookViewId="0">
      <selection activeCell="N8" sqref="N8"/>
    </sheetView>
  </sheetViews>
  <sheetFormatPr defaultRowHeight="14.4"/>
  <cols>
    <col min="1" max="1" width="12.5546875" bestFit="1" customWidth="1"/>
    <col min="2" max="2" width="11.88671875" bestFit="1" customWidth="1"/>
    <col min="3" max="3" width="10.77734375" bestFit="1" customWidth="1"/>
  </cols>
  <sheetData>
    <row r="3" spans="1:3">
      <c r="A3" s="1" t="s">
        <v>13</v>
      </c>
      <c r="B3" t="s">
        <v>45</v>
      </c>
      <c r="C3" t="s">
        <v>46</v>
      </c>
    </row>
    <row r="4" spans="1:3">
      <c r="A4" s="2" t="s">
        <v>7</v>
      </c>
      <c r="B4" s="12">
        <v>84000</v>
      </c>
      <c r="C4" s="12">
        <v>54000</v>
      </c>
    </row>
    <row r="5" spans="1:3">
      <c r="A5" s="2" t="s">
        <v>8</v>
      </c>
      <c r="B5" s="12">
        <v>109000</v>
      </c>
      <c r="C5" s="12">
        <v>66500</v>
      </c>
    </row>
    <row r="6" spans="1:3">
      <c r="A6" s="2" t="s">
        <v>9</v>
      </c>
      <c r="B6" s="12">
        <v>119000</v>
      </c>
      <c r="C6" s="12">
        <v>73000</v>
      </c>
    </row>
    <row r="7" spans="1:3">
      <c r="A7" s="2" t="s">
        <v>30</v>
      </c>
      <c r="B7" s="12">
        <v>118000</v>
      </c>
      <c r="C7" s="12">
        <v>72000</v>
      </c>
    </row>
    <row r="8" spans="1:3">
      <c r="A8" s="2" t="s">
        <v>19</v>
      </c>
      <c r="B8" s="12">
        <v>131000</v>
      </c>
      <c r="C8" s="12">
        <v>77000</v>
      </c>
    </row>
    <row r="9" spans="1:3">
      <c r="A9" s="2" t="s">
        <v>20</v>
      </c>
      <c r="B9" s="12">
        <v>138000</v>
      </c>
      <c r="C9" s="12">
        <v>81000</v>
      </c>
    </row>
    <row r="10" spans="1:3">
      <c r="A10" s="2" t="s">
        <v>21</v>
      </c>
      <c r="B10" s="12">
        <v>122500</v>
      </c>
      <c r="C10" s="12">
        <v>73000</v>
      </c>
    </row>
    <row r="11" spans="1:3">
      <c r="A11" s="2" t="s">
        <v>22</v>
      </c>
      <c r="B11" s="12">
        <v>130500</v>
      </c>
      <c r="C11" s="12">
        <v>75500</v>
      </c>
    </row>
    <row r="12" spans="1:3">
      <c r="A12" s="2" t="s">
        <v>23</v>
      </c>
      <c r="B12" s="12">
        <v>142000</v>
      </c>
      <c r="C12" s="12">
        <v>83000</v>
      </c>
    </row>
    <row r="13" spans="1:3">
      <c r="A13" s="2" t="s">
        <v>24</v>
      </c>
      <c r="B13" s="12">
        <v>132500</v>
      </c>
      <c r="C13" s="12">
        <v>85000</v>
      </c>
    </row>
    <row r="14" spans="1:3">
      <c r="A14" s="2" t="s">
        <v>25</v>
      </c>
      <c r="B14" s="12">
        <v>152000</v>
      </c>
      <c r="C14" s="12">
        <v>89000</v>
      </c>
    </row>
    <row r="15" spans="1:3">
      <c r="A15" s="2" t="s">
        <v>26</v>
      </c>
      <c r="B15" s="12">
        <v>167000</v>
      </c>
      <c r="C15" s="12">
        <v>95500</v>
      </c>
    </row>
    <row r="16" spans="1:3">
      <c r="A16" s="2" t="s">
        <v>2</v>
      </c>
      <c r="B16" s="12">
        <v>1545500</v>
      </c>
      <c r="C16" s="12">
        <v>924500</v>
      </c>
    </row>
    <row r="24" spans="2:2">
      <c r="B24" s="12"/>
    </row>
    <row r="25" spans="2:2">
      <c r="B25" s="12"/>
    </row>
    <row r="26" spans="2:2">
      <c r="B26" s="12"/>
    </row>
    <row r="27" spans="2:2">
      <c r="B27" s="12"/>
    </row>
    <row r="28" spans="2:2">
      <c r="B28" s="12"/>
    </row>
    <row r="29" spans="2:2">
      <c r="B29" s="12"/>
    </row>
    <row r="30" spans="2:2">
      <c r="B30" s="12"/>
    </row>
    <row r="31" spans="2:2">
      <c r="B31" s="12"/>
    </row>
    <row r="32" spans="2:2">
      <c r="B32" s="12"/>
    </row>
    <row r="33" spans="2:2">
      <c r="B33" s="12"/>
    </row>
    <row r="34" spans="2:2">
      <c r="B34" s="12"/>
    </row>
    <row r="35" spans="2:2">
      <c r="B35" s="12"/>
    </row>
  </sheetData>
  <sortState xmlns:xlrd2="http://schemas.microsoft.com/office/spreadsheetml/2017/richdata2" ref="B24:B35">
    <sortCondition ref="B24:B35"/>
  </sortState>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6F404-1FA8-4496-BDA9-B1C0AE224094}">
  <sheetPr codeName="Sheet2"/>
  <dimension ref="A3:B16"/>
  <sheetViews>
    <sheetView workbookViewId="0">
      <selection activeCell="F19" sqref="F19"/>
    </sheetView>
  </sheetViews>
  <sheetFormatPr defaultRowHeight="14.4"/>
  <cols>
    <col min="1" max="1" width="12.5546875" bestFit="1" customWidth="1"/>
    <col min="2" max="2" width="10.44140625" bestFit="1" customWidth="1"/>
  </cols>
  <sheetData>
    <row r="3" spans="1:2">
      <c r="A3" s="1" t="s">
        <v>13</v>
      </c>
      <c r="B3" t="s">
        <v>47</v>
      </c>
    </row>
    <row r="4" spans="1:2">
      <c r="A4" s="2" t="s">
        <v>7</v>
      </c>
      <c r="B4" s="12">
        <v>30000</v>
      </c>
    </row>
    <row r="5" spans="1:2">
      <c r="A5" s="2" t="s">
        <v>8</v>
      </c>
      <c r="B5" s="12">
        <v>42500</v>
      </c>
    </row>
    <row r="6" spans="1:2">
      <c r="A6" s="2" t="s">
        <v>9</v>
      </c>
      <c r="B6" s="12">
        <v>46000</v>
      </c>
    </row>
    <row r="7" spans="1:2">
      <c r="A7" s="2" t="s">
        <v>30</v>
      </c>
      <c r="B7" s="12">
        <v>46000</v>
      </c>
    </row>
    <row r="8" spans="1:2">
      <c r="A8" s="2" t="s">
        <v>19</v>
      </c>
      <c r="B8" s="12">
        <v>54000</v>
      </c>
    </row>
    <row r="9" spans="1:2">
      <c r="A9" s="2" t="s">
        <v>20</v>
      </c>
      <c r="B9" s="12">
        <v>57000</v>
      </c>
    </row>
    <row r="10" spans="1:2">
      <c r="A10" s="2" t="s">
        <v>21</v>
      </c>
      <c r="B10" s="12">
        <v>49500</v>
      </c>
    </row>
    <row r="11" spans="1:2">
      <c r="A11" s="2" t="s">
        <v>22</v>
      </c>
      <c r="B11" s="12">
        <v>55000</v>
      </c>
    </row>
    <row r="12" spans="1:2">
      <c r="A12" s="2" t="s">
        <v>23</v>
      </c>
      <c r="B12" s="12">
        <v>59000</v>
      </c>
    </row>
    <row r="13" spans="1:2">
      <c r="A13" s="2" t="s">
        <v>24</v>
      </c>
      <c r="B13" s="12">
        <v>47500</v>
      </c>
    </row>
    <row r="14" spans="1:2">
      <c r="A14" s="2" t="s">
        <v>25</v>
      </c>
      <c r="B14" s="12">
        <v>63000</v>
      </c>
    </row>
    <row r="15" spans="1:2">
      <c r="A15" s="2" t="s">
        <v>26</v>
      </c>
      <c r="B15" s="12">
        <v>71500</v>
      </c>
    </row>
    <row r="16" spans="1:2">
      <c r="A16" s="2" t="s">
        <v>2</v>
      </c>
      <c r="B16" s="12">
        <v>621000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2BA32-9ED0-4C5A-AFA2-DC1434707AED}">
  <sheetPr codeName="Sheet3"/>
  <dimension ref="A3:G29"/>
  <sheetViews>
    <sheetView topLeftCell="D1" zoomScale="78" workbookViewId="0">
      <selection activeCell="F18" sqref="F18"/>
    </sheetView>
  </sheetViews>
  <sheetFormatPr defaultRowHeight="14.4"/>
  <cols>
    <col min="1" max="1" width="12.88671875" bestFit="1" customWidth="1"/>
    <col min="2" max="2" width="15.33203125" bestFit="1" customWidth="1"/>
    <col min="3" max="3" width="22.21875" bestFit="1" customWidth="1"/>
    <col min="4" max="4" width="15.6640625" bestFit="1" customWidth="1"/>
    <col min="5" max="5" width="25.77734375" bestFit="1" customWidth="1"/>
    <col min="6" max="6" width="16.109375" bestFit="1" customWidth="1"/>
    <col min="7" max="7" width="15.77734375" bestFit="1" customWidth="1"/>
  </cols>
  <sheetData>
    <row r="3" spans="1:7">
      <c r="A3" s="1" t="s">
        <v>13</v>
      </c>
      <c r="B3" t="s">
        <v>14</v>
      </c>
      <c r="C3" t="s">
        <v>31</v>
      </c>
      <c r="D3" t="s">
        <v>15</v>
      </c>
      <c r="E3" t="s">
        <v>32</v>
      </c>
      <c r="F3" t="s">
        <v>11</v>
      </c>
      <c r="G3" t="s">
        <v>12</v>
      </c>
    </row>
    <row r="4" spans="1:7">
      <c r="A4" s="2" t="s">
        <v>7</v>
      </c>
      <c r="B4" s="12">
        <v>84000</v>
      </c>
      <c r="C4" s="12">
        <v>80000</v>
      </c>
      <c r="D4" s="12">
        <v>54000</v>
      </c>
      <c r="E4" s="12">
        <v>50000</v>
      </c>
      <c r="F4" s="14">
        <f>B4-C4</f>
        <v>4000</v>
      </c>
      <c r="G4" s="12">
        <f>E4-D4</f>
        <v>-4000</v>
      </c>
    </row>
    <row r="5" spans="1:7">
      <c r="A5" s="2" t="s">
        <v>8</v>
      </c>
      <c r="B5" s="12">
        <v>109000</v>
      </c>
      <c r="C5" s="12">
        <v>100000</v>
      </c>
      <c r="D5" s="12">
        <v>66500</v>
      </c>
      <c r="E5" s="12">
        <v>65000</v>
      </c>
      <c r="F5" s="14">
        <f t="shared" ref="F5:F16" si="0">B5-C5</f>
        <v>9000</v>
      </c>
      <c r="G5" s="12">
        <f t="shared" ref="G5:G16" si="1">E5-D5</f>
        <v>-1500</v>
      </c>
    </row>
    <row r="6" spans="1:7">
      <c r="A6" s="2" t="s">
        <v>9</v>
      </c>
      <c r="B6" s="12">
        <v>119000</v>
      </c>
      <c r="C6" s="12">
        <v>110000</v>
      </c>
      <c r="D6" s="12">
        <v>73000</v>
      </c>
      <c r="E6" s="12">
        <v>70000</v>
      </c>
      <c r="F6" s="14">
        <f t="shared" si="0"/>
        <v>9000</v>
      </c>
      <c r="G6" s="12">
        <f t="shared" si="1"/>
        <v>-3000</v>
      </c>
    </row>
    <row r="7" spans="1:7">
      <c r="A7" s="2" t="s">
        <v>30</v>
      </c>
      <c r="B7" s="12">
        <v>118000</v>
      </c>
      <c r="C7" s="12">
        <v>115000</v>
      </c>
      <c r="D7" s="12">
        <v>72000</v>
      </c>
      <c r="E7" s="12">
        <v>72000</v>
      </c>
      <c r="F7" s="14">
        <f t="shared" si="0"/>
        <v>3000</v>
      </c>
      <c r="G7" s="12">
        <f t="shared" si="1"/>
        <v>0</v>
      </c>
    </row>
    <row r="8" spans="1:7">
      <c r="A8" s="2" t="s">
        <v>19</v>
      </c>
      <c r="B8" s="12">
        <v>131000</v>
      </c>
      <c r="C8" s="12">
        <v>120000</v>
      </c>
      <c r="D8" s="12">
        <v>77000</v>
      </c>
      <c r="E8" s="12">
        <v>75000</v>
      </c>
      <c r="F8" s="14">
        <f t="shared" si="0"/>
        <v>11000</v>
      </c>
      <c r="G8" s="12">
        <f t="shared" si="1"/>
        <v>-2000</v>
      </c>
    </row>
    <row r="9" spans="1:7">
      <c r="A9" s="2" t="s">
        <v>20</v>
      </c>
      <c r="B9" s="12">
        <v>138000</v>
      </c>
      <c r="C9" s="12">
        <v>125000</v>
      </c>
      <c r="D9" s="12">
        <v>81000</v>
      </c>
      <c r="E9" s="12">
        <v>78000</v>
      </c>
      <c r="F9" s="14">
        <f t="shared" si="0"/>
        <v>13000</v>
      </c>
      <c r="G9" s="12">
        <f t="shared" si="1"/>
        <v>-3000</v>
      </c>
    </row>
    <row r="10" spans="1:7">
      <c r="A10" s="2" t="s">
        <v>21</v>
      </c>
      <c r="B10" s="12">
        <v>122500</v>
      </c>
      <c r="C10" s="12">
        <v>118000</v>
      </c>
      <c r="D10" s="12">
        <v>73000</v>
      </c>
      <c r="E10" s="12">
        <v>74000</v>
      </c>
      <c r="F10" s="14">
        <f t="shared" si="0"/>
        <v>4500</v>
      </c>
      <c r="G10" s="12">
        <f t="shared" si="1"/>
        <v>1000</v>
      </c>
    </row>
    <row r="11" spans="1:7">
      <c r="A11" s="2" t="s">
        <v>22</v>
      </c>
      <c r="B11" s="12">
        <v>130500</v>
      </c>
      <c r="C11" s="12">
        <v>122000</v>
      </c>
      <c r="D11" s="12">
        <v>75500</v>
      </c>
      <c r="E11" s="12">
        <v>76000</v>
      </c>
      <c r="F11" s="14">
        <f t="shared" si="0"/>
        <v>8500</v>
      </c>
      <c r="G11" s="12">
        <f t="shared" si="1"/>
        <v>500</v>
      </c>
    </row>
    <row r="12" spans="1:7">
      <c r="A12" s="2" t="s">
        <v>23</v>
      </c>
      <c r="B12" s="12">
        <v>142000</v>
      </c>
      <c r="C12" s="12">
        <v>130000</v>
      </c>
      <c r="D12" s="12">
        <v>83000</v>
      </c>
      <c r="E12" s="12">
        <v>80000</v>
      </c>
      <c r="F12" s="14">
        <f t="shared" si="0"/>
        <v>12000</v>
      </c>
      <c r="G12" s="12">
        <f t="shared" si="1"/>
        <v>-3000</v>
      </c>
    </row>
    <row r="13" spans="1:7">
      <c r="A13" s="2" t="s">
        <v>24</v>
      </c>
      <c r="B13" s="12">
        <v>132500</v>
      </c>
      <c r="C13" s="12">
        <v>135000</v>
      </c>
      <c r="D13" s="12">
        <v>85000</v>
      </c>
      <c r="E13" s="12">
        <v>83000</v>
      </c>
      <c r="F13" s="14">
        <f t="shared" si="0"/>
        <v>-2500</v>
      </c>
      <c r="G13" s="12">
        <f t="shared" si="1"/>
        <v>-2000</v>
      </c>
    </row>
    <row r="14" spans="1:7">
      <c r="A14" s="2" t="s">
        <v>25</v>
      </c>
      <c r="B14" s="12">
        <v>152000</v>
      </c>
      <c r="C14" s="12">
        <v>140000</v>
      </c>
      <c r="D14" s="12">
        <v>89000</v>
      </c>
      <c r="E14" s="12">
        <v>87000</v>
      </c>
      <c r="F14" s="14">
        <f t="shared" si="0"/>
        <v>12000</v>
      </c>
      <c r="G14" s="12">
        <f t="shared" si="1"/>
        <v>-2000</v>
      </c>
    </row>
    <row r="15" spans="1:7">
      <c r="A15" s="2" t="s">
        <v>26</v>
      </c>
      <c r="B15" s="12">
        <v>167000</v>
      </c>
      <c r="C15" s="12">
        <v>140000</v>
      </c>
      <c r="D15" s="12">
        <v>95500</v>
      </c>
      <c r="E15" s="12">
        <v>92000</v>
      </c>
      <c r="F15" s="14">
        <f t="shared" si="0"/>
        <v>27000</v>
      </c>
      <c r="G15" s="12">
        <f t="shared" si="1"/>
        <v>-3500</v>
      </c>
    </row>
    <row r="16" spans="1:7">
      <c r="A16" s="2" t="s">
        <v>2</v>
      </c>
      <c r="B16" s="12">
        <v>1545500</v>
      </c>
      <c r="C16" s="12">
        <v>119583.33333333333</v>
      </c>
      <c r="D16" s="12">
        <v>924500</v>
      </c>
      <c r="E16" s="12">
        <v>75166.666666666672</v>
      </c>
      <c r="F16" s="14">
        <f t="shared" si="0"/>
        <v>1425916.6666666667</v>
      </c>
      <c r="G16" s="12">
        <f t="shared" si="1"/>
        <v>-849333.33333333337</v>
      </c>
    </row>
    <row r="18" spans="1:3">
      <c r="A18" s="37" t="s">
        <v>33</v>
      </c>
      <c r="B18" s="37"/>
      <c r="C18" s="22" t="str">
        <f>INDEX(A4:A15,MATCH(MAX(F4:F15),F4:F15,0))</f>
        <v>Dec</v>
      </c>
    </row>
    <row r="19" spans="1:3">
      <c r="A19" s="37" t="s">
        <v>34</v>
      </c>
      <c r="B19" s="37"/>
      <c r="C19" s="22" t="str">
        <f>INDEX(A4:A15,MATCH(MIN(G4:G15),G4:G15,0))</f>
        <v>Jan</v>
      </c>
    </row>
    <row r="20" spans="1:3">
      <c r="A20" s="37" t="s">
        <v>35</v>
      </c>
      <c r="B20" s="37"/>
      <c r="C20" s="27">
        <f>SUM(F4:F15)</f>
        <v>110500</v>
      </c>
    </row>
    <row r="21" spans="1:3">
      <c r="A21" s="37" t="s">
        <v>36</v>
      </c>
      <c r="B21" s="37"/>
      <c r="C21" s="28">
        <f>SUM(G4:G15)</f>
        <v>-22500</v>
      </c>
    </row>
    <row r="24" spans="1:3">
      <c r="B24" s="5" t="s">
        <v>42</v>
      </c>
    </row>
    <row r="25" spans="1:3">
      <c r="A25" s="10" t="s">
        <v>37</v>
      </c>
    </row>
    <row r="26" spans="1:3">
      <c r="A26" s="10" t="s">
        <v>38</v>
      </c>
    </row>
    <row r="27" spans="1:3">
      <c r="A27" s="10" t="s">
        <v>39</v>
      </c>
    </row>
    <row r="28" spans="1:3">
      <c r="A28" s="10" t="s">
        <v>40</v>
      </c>
    </row>
    <row r="29" spans="1:3">
      <c r="A29" s="10" t="s">
        <v>41</v>
      </c>
    </row>
  </sheetData>
  <mergeCells count="4">
    <mergeCell ref="A18:B18"/>
    <mergeCell ref="A19:B19"/>
    <mergeCell ref="A20:B20"/>
    <mergeCell ref="A21:B21"/>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AD313-6D3D-4CC2-B182-8DB8EB3A725D}">
  <sheetPr codeName="Sheet6"/>
  <dimension ref="A1:X34"/>
  <sheetViews>
    <sheetView showGridLines="0" tabSelected="1" topLeftCell="A2" zoomScale="91" zoomScaleNormal="89" zoomScaleSheetLayoutView="81" workbookViewId="0">
      <selection activeCell="T10" sqref="T10"/>
    </sheetView>
  </sheetViews>
  <sheetFormatPr defaultRowHeight="14.4"/>
  <cols>
    <col min="2" max="2" width="7.109375" customWidth="1"/>
    <col min="3" max="3" width="9.77734375" customWidth="1"/>
    <col min="4" max="4" width="7" customWidth="1"/>
    <col min="5" max="5" width="7.6640625" customWidth="1"/>
    <col min="6" max="6" width="8.109375" customWidth="1"/>
    <col min="7" max="7" width="9.88671875" customWidth="1"/>
    <col min="8" max="8" width="7.77734375" customWidth="1"/>
    <col min="9" max="9" width="9.5546875" customWidth="1"/>
    <col min="10" max="10" width="6.77734375" customWidth="1"/>
    <col min="11" max="11" width="7.6640625" customWidth="1"/>
    <col min="12" max="12" width="8.44140625" customWidth="1"/>
    <col min="13" max="13" width="8.109375" customWidth="1"/>
    <col min="14" max="14" width="8.77734375" customWidth="1"/>
    <col min="15" max="15" width="8.6640625" customWidth="1"/>
    <col min="16" max="16" width="8.33203125" customWidth="1"/>
    <col min="18" max="19" width="10.5546875" customWidth="1"/>
  </cols>
  <sheetData>
    <row r="1" spans="1:22" ht="14.4" customHeight="1">
      <c r="A1" s="33" t="s">
        <v>48</v>
      </c>
      <c r="B1" s="33"/>
      <c r="C1" s="33"/>
      <c r="D1" s="33"/>
      <c r="E1" s="33"/>
      <c r="F1" s="33"/>
      <c r="G1" s="33"/>
      <c r="H1" s="33"/>
      <c r="I1" s="33"/>
      <c r="J1" s="33"/>
      <c r="K1" s="33"/>
      <c r="L1" s="33"/>
      <c r="M1" s="33"/>
      <c r="N1" s="33"/>
      <c r="O1" s="33"/>
      <c r="P1" s="33"/>
      <c r="Q1" s="33"/>
      <c r="R1" s="21"/>
      <c r="S1" s="21"/>
      <c r="T1" s="21"/>
      <c r="U1" s="21"/>
      <c r="V1" s="21"/>
    </row>
    <row r="2" spans="1:22" ht="14.4" customHeight="1">
      <c r="A2" s="33"/>
      <c r="B2" s="33"/>
      <c r="C2" s="33"/>
      <c r="D2" s="33"/>
      <c r="E2" s="33"/>
      <c r="F2" s="33"/>
      <c r="G2" s="33"/>
      <c r="H2" s="33"/>
      <c r="I2" s="33"/>
      <c r="J2" s="33"/>
      <c r="K2" s="33"/>
      <c r="L2" s="33"/>
      <c r="M2" s="33"/>
      <c r="N2" s="33"/>
      <c r="O2" s="33"/>
      <c r="P2" s="33"/>
      <c r="Q2" s="33"/>
      <c r="R2" s="18"/>
      <c r="S2" s="18"/>
      <c r="T2" s="18"/>
      <c r="U2" s="18"/>
      <c r="V2" s="17"/>
    </row>
    <row r="3" spans="1:22" ht="14.4" customHeight="1">
      <c r="A3" s="17"/>
      <c r="C3" s="31" t="s">
        <v>16</v>
      </c>
      <c r="D3" s="31"/>
      <c r="F3" s="29" t="s">
        <v>17</v>
      </c>
      <c r="G3" s="29"/>
      <c r="I3" s="31" t="s">
        <v>18</v>
      </c>
      <c r="J3" s="31"/>
      <c r="L3" s="29" t="s">
        <v>43</v>
      </c>
      <c r="M3" s="29"/>
      <c r="O3" s="31" t="s">
        <v>44</v>
      </c>
      <c r="P3" s="31"/>
      <c r="T3" s="19"/>
      <c r="V3" s="17"/>
    </row>
    <row r="4" spans="1:22" ht="21">
      <c r="C4" s="32">
        <f>SUM(Table1[Revenue])</f>
        <v>1545500</v>
      </c>
      <c r="D4" s="32"/>
      <c r="F4" s="30">
        <f>SUM(Table1[Expenses])</f>
        <v>924500</v>
      </c>
      <c r="G4" s="30"/>
      <c r="I4" s="36">
        <f>SUM(Table1[Profit])</f>
        <v>621000</v>
      </c>
      <c r="J4" s="36"/>
      <c r="L4" s="35" t="str">
        <f>TEXT(AVERAGE(Table1[Profit Margin %]),"0.00%")</f>
        <v>39.63%</v>
      </c>
      <c r="M4" s="35"/>
      <c r="O4" s="34" t="str">
        <f>INDEX('Income VS Expenses'!D2:D49,MATCH(MAX('Income VS Expenses'!G2:G49),'Income VS Expenses'!G2:G49,0))</f>
        <v>Dec</v>
      </c>
      <c r="P4" s="34"/>
      <c r="T4" s="20"/>
    </row>
    <row r="11" spans="1:22">
      <c r="H11" s="12"/>
    </row>
    <row r="13" spans="1:22">
      <c r="L13" s="12"/>
      <c r="N13" s="12"/>
    </row>
    <row r="25" spans="14:24" ht="18">
      <c r="N25" s="15"/>
    </row>
    <row r="27" spans="14:24">
      <c r="N27" s="5"/>
    </row>
    <row r="28" spans="14:24" ht="14.4" customHeight="1">
      <c r="N28" s="16"/>
      <c r="O28" s="16"/>
      <c r="P28" s="16"/>
      <c r="Q28" s="16"/>
      <c r="R28" s="16"/>
      <c r="S28" s="16"/>
      <c r="T28" s="16"/>
      <c r="U28" s="16"/>
      <c r="V28" s="16"/>
      <c r="W28" s="16"/>
      <c r="X28" s="16"/>
    </row>
    <row r="30" spans="14:24">
      <c r="N30" s="5"/>
    </row>
    <row r="31" spans="14:24">
      <c r="N31" s="16"/>
    </row>
    <row r="33" spans="14:14">
      <c r="N33" s="5"/>
    </row>
    <row r="34" spans="14:14">
      <c r="N34" s="16"/>
    </row>
  </sheetData>
  <mergeCells count="11">
    <mergeCell ref="F3:G3"/>
    <mergeCell ref="F4:G4"/>
    <mergeCell ref="C3:D3"/>
    <mergeCell ref="C4:D4"/>
    <mergeCell ref="A1:Q2"/>
    <mergeCell ref="O4:P4"/>
    <mergeCell ref="L3:M3"/>
    <mergeCell ref="L4:M4"/>
    <mergeCell ref="I3:J3"/>
    <mergeCell ref="I4:J4"/>
    <mergeCell ref="O3:P3"/>
  </mergeCells>
  <pageMargins left="0.70866141732283472" right="0.70866141732283472" top="0.74803149606299213" bottom="0.74803149606299213" header="0.31496062992125984" footer="0.31496062992125984"/>
  <pageSetup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Budget Data</vt:lpstr>
      <vt:lpstr>Income VS Expenses</vt:lpstr>
      <vt:lpstr>Monthly rev vs exp</vt:lpstr>
      <vt:lpstr>Profit trend</vt:lpstr>
      <vt:lpstr>Variance analysis</vt:lpstr>
      <vt:lpstr>DASHBOARD</vt:lpstr>
      <vt:lpstr>Raw_main_data</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Vaishnavee K Haridas</dc:creator>
  <cp:lastModifiedBy>Vaishnavee K Haridas</cp:lastModifiedBy>
  <dcterms:created xsi:type="dcterms:W3CDTF">2025-08-10T09:41:31Z</dcterms:created>
  <dcterms:modified xsi:type="dcterms:W3CDTF">2026-07-18T11:55:36Z</dcterms:modified>
</cp:coreProperties>
</file>